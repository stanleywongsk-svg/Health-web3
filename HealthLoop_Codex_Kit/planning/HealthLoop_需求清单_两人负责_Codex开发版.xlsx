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08078c0ce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清单" sheetId="1" r:id="Re85f91f9dea240ce"/>
    <x:sheet xmlns:r="http://schemas.openxmlformats.org/officeDocument/2006/relationships" name="工作包" sheetId="2" r:id="Rf2549d5b34994536"/>
    <x:sheet xmlns:r="http://schemas.openxmlformats.org/officeDocument/2006/relationships" name="四人分工" sheetId="4" r:id="R7d956f667aa04af9"/>
    <x:sheet xmlns:r="http://schemas.openxmlformats.org/officeDocument/2006/relationships" name="风险" sheetId="5" r:id="R766f45bb4b044fb3"/>
    <x:sheet xmlns:r="http://schemas.openxmlformats.org/officeDocument/2006/relationships" name="放行关卡" sheetId="6" r:id="R78b43351dc734308"/>
    <x:sheet xmlns:r="http://schemas.openxmlformats.org/officeDocument/2006/relationships" name="资料来源" sheetId="7" r:id="Rb3f869c823ec4dee"/>
    <x:sheet xmlns:r="http://schemas.openxmlformats.org/officeDocument/2006/relationships" name="财务假设" sheetId="8" r:id="R64e1c24eca034c9e"/>
    <x:sheet xmlns:r="http://schemas.openxmlformats.org/officeDocument/2006/relationships" name="收入模型" sheetId="9" r:id="Rbe7cbaaa2a3240b2"/>
    <x:sheet xmlns:r="http://schemas.openxmlformats.org/officeDocument/2006/relationships" name="MVP预算" sheetId="10" r:id="Ra80a0c8929544d66"/>
    <x:sheet xmlns:r="http://schemas.openxmlformats.org/officeDocument/2006/relationships" name="发币模型" sheetId="11" r:id="Rf82808f72f834743"/>
    <x:sheet xmlns:r="http://schemas.openxmlformats.org/officeDocument/2006/relationships" name="阅读指引" sheetId="13" r:id="R18674b7b4bbc40c8"/>
  </x:sheets>
</x:workbook>
</file>

<file path=xl/comments1.xml><?xml version="1.0" encoding="utf-8"?>
<x:comments xmlns:x="http://schemas.openxmlformats.org/spreadsheetml/2006/main">
  <x:authors>
    <x:author>tc={737E18BC-1F3F-0770-E727-A02F8B2D0213}</x:author>
  </x:authors>
  <x:commentList>
    <x:comment ref="B2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来源：团队未验证规划假设。HK$36,000为独立月度劳动预算，不由固定周数或排班推算。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tc={8757B28B-0B91-30B4-3BB5-B41F8FDC3AFF}</x:author>
    <x:author>tc={D248B4C0-DF52-767D-5342-C1C0B9926C74}</x:author>
    <x:author>tc={45303A66-5D5C-1142-0808-75CF902DE5BC}</x:author>
    <x:author>tc={41CD8096-7808-61B9-9DB6-3EAB6EA79814}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来源：团队代币配置示例。尚未发行、未估值；须另行法律、平台及安全批准。</x:t>
        </x:r>
      </x:text>
    </x:comment>
    <x:comment ref="D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来源：团队首次分配事件上限假设。不是日历解锁表，亦不等于实际流通。</x:t>
        </x:r>
      </x:text>
    </x:comment>
    <x:comment ref="B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来源：团队总供应建模假设，非估值或发行授权。</x:t>
        </x:r>
      </x:text>
    </x:comment>
    <x:comment ref="B1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来源：团队单批次假设；100万预算、1000名合资格用户、每人上限200枚。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&quot;-&quot;"/>
    <x:numFmt numFmtId="201" formatCode="0.0%;[Red](0.0%);&quot;-&quot;"/>
    <x:numFmt numFmtId="202" formatCode="#,##0.00;[Red](#,##0.00);&quot;-&quot;"/>
  </x:numFmts>
  <x:fonts count="21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sz val="10"/>
      <x:name val="Noto Sans CJK TC"/>
    </x:font>
    <x:font>
      <x:b/>
      <x:sz val="10"/>
      <x:color rgb="FFFFFFFF"/>
      <x:name val="Noto Sans CJK TC"/>
    </x:font>
    <x:font>
      <x:b/>
      <x:sz val="11"/>
      <x:name val="Carlito"/>
    </x:font>
    <x:font>
      <x:sz val="10"/>
      <x:color rgb="FF0000FF"/>
      <x:name val="Noto Sans CJK TC"/>
    </x:font>
    <x:font>
      <x:sz val="10"/>
      <x:color rgb="FF008000"/>
      <x:name val="Noto Sans CJK TC"/>
    </x:font>
    <x:font>
      <x:sz val="10"/>
      <x:color rgb="FF000000"/>
      <x:name val="Noto Sans CJK TC"/>
    </x:font>
    <x:font>
      <x:b/>
      <x:sz val="10"/>
      <x:name val="Noto Sans CJK TC"/>
    </x:font>
    <x:font>
      <x:b/>
      <x:sz val="10"/>
      <x:color rgb="FF000000"/>
      <x:name val="Noto Sans CJK TC"/>
    </x:font>
    <x:font>
      <x:sz val="11"/>
      <x:color rgb="FF0000FF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  <x:font>
      <x:sz val="10"/>
      <x:color rgb="FF233A45"/>
      <x:name val="Aptos"/>
    </x:font>
    <x:font>
      <x:b/>
      <x:sz val="17"/>
      <x:color rgb="FFFFFFFF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sz val="10"/>
      <x:color rgb="FF233A45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83449"/>
      </x:patternFill>
    </x:fill>
    <x:fill>
      <x:patternFill patternType="solid">
        <x:fgColor rgb="FF157A78"/>
      </x:patternFill>
    </x:fill>
    <x:fill>
      <x:patternFill patternType="solid">
        <x:fgColor rgb="FFF3F7FA"/>
      </x:patternFill>
    </x:fill>
    <x:fill>
      <x:patternFill patternType="solid">
        <x:fgColor rgb="FFEAF4F3"/>
      </x:patternFill>
    </x:fill>
    <x:fill>
      <x:patternFill patternType="solid">
        <x:fgColor rgb="FF147E83"/>
      </x:patternFill>
    </x:fill>
    <x:fill>
      <x:patternFill patternType="solid">
        <x:fgColor rgb="FFE1F0EF"/>
      </x:patternFill>
    </x:fill>
    <x:fill>
      <x:patternFill patternType="solid">
        <x:fgColor rgb="FFFFF3D7"/>
      </x:patternFill>
    </x:fill>
    <x:fill>
      <x:patternFill patternType="solid">
        <x:fgColor rgb="FF147D7E"/>
      </x:patternFill>
    </x:fill>
    <x:fill>
      <x:patternFill patternType="solid">
        <x:fgColor rgb="FFE7F2F1"/>
      </x:patternFill>
    </x:fill>
    <x:fill>
      <x:patternFill patternType="solid">
        <x:fgColor rgb="FFF0F5F6"/>
      </x:patternFill>
    </x:fill>
    <x:fill>
      <x:patternFill patternType="solid">
        <x:fgColor rgb="FFD9EEEE"/>
      </x:patternFill>
    </x:fill>
    <x:fill>
      <x:patternFill patternType="solid">
        <x:fgColor rgb="FFFFF3D9"/>
      </x:patternFill>
    </x:fill>
  </x:fills>
  <x:borders count="2">
    <x:border/>
    <x:border/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4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1" fontId="6" fillId="4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200" fontId="7" fillId="4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7" fillId="4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200" fontId="8" fillId="4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2" fontId="8" fillId="4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2" fontId="8" fillId="4" borderId="1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200" fontId="8" fillId="5" borderId="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200" fontId="10" fillId="5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200" fontId="1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5" fillId="5" borderId="0" xfId="0" applyNumberFormat="1" applyFont="1" applyFill="1" applyBorder="1"/>
    <x:xf numFmtId="200" fontId="0" fillId="5" borderId="1" xfId="0" applyNumberFormat="1" applyFont="1" applyFill="1" applyBorder="1"/>
    <x:xf numFmtId="200" fontId="5" fillId="5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1" fontId="11" fillId="0" borderId="0" xfId="0" applyNumberFormat="1" applyFont="1" applyFill="1" applyBorder="1"/>
    <x:xf numFmtId="201" fontId="11" fillId="0" borderId="1" xfId="0" applyNumberFormat="1" applyFont="1" applyFill="1" applyBorder="1"/>
    <x:xf numFmtId="201" fontId="3" fillId="4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/>
    <x:xf numFmtId="201" fontId="3" fillId="4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201" fontId="5" fillId="5" borderId="1" xfId="0" applyNumberFormat="1" applyFont="1" applyFill="1" applyBorder="1"/>
    <x:xf numFmtId="0" fontId="0" fillId="3" borderId="0" xfId="0" applyNumberFormat="1" applyFont="1" applyFill="1" applyBorder="1"/>
    <x:xf numFmtId="0" fontId="12" fillId="3" borderId="0" xfId="0" applyNumberFormat="1" applyFont="1" applyFill="1" applyBorder="1"/>
    <x:xf numFmtId="0" fontId="0" fillId="3" borderId="1" xfId="0" applyNumberFormat="1" applyFont="1" applyFill="1" applyBorder="1"/>
    <x:xf numFmtId="0" fontId="12" fillId="3" borderId="1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1" xfId="0" applyNumberFormat="1" applyFont="1" applyFill="1" applyBorder="1"/>
    <x:xf numFmtId="0" fontId="1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6" fillId="9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vertical="center" wrapText="1"/>
    </x:xf>
    <x:xf numFmtId="0" fontId="18" fillId="11" borderId="0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 applyAlignment="1">
      <x:alignment vertical="center" wrapText="1"/>
    </x:xf>
    <x:xf numFmtId="0" fontId="19" fillId="11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0" fillId="13" borderId="0" xfId="0" applyNumberFormat="1" applyFont="1" applyFill="1" applyBorder="1"/>
    <x:xf numFmtId="0" fontId="20" fillId="13" borderId="0" xfId="0" applyNumberFormat="1" applyFont="1" applyFill="1" applyBorder="1" applyAlignment="1">
      <x:alignment wrapText="1"/>
    </x:xf>
    <x:xf numFmtId="201" fontId="15" fillId="11" borderId="0" xfId="0" applyNumberFormat="1" applyFont="1" applyFill="1" applyBorder="1" applyAlignment="1">
      <x:alignment vertical="center" wrapText="1"/>
    </x:xf>
    <x:xf numFmtId="201" fontId="15" fillId="0" borderId="0" xfId="0" applyNumberFormat="1" applyFont="1" applyFill="1" applyBorder="1" applyAlignment="1">
      <x:alignment vertical="center" wrapText="1"/>
    </x:xf>
    <x:xf numFmtId="200" fontId="15" fillId="11" borderId="0" xfId="0" applyNumberFormat="1" applyFont="1" applyFill="1" applyBorder="1" applyAlignment="1">
      <x:alignment vertical="center" wrapText="1"/>
    </x:xf>
    <x:xf numFmtId="200" fontId="15" fillId="0" borderId="0" xfId="0" applyNumberFormat="1" applyFont="1" applyFill="1" applyBorder="1" applyAlignment="1">
      <x:alignment vertical="center" wrapText="1"/>
    </x:xf>
    <x:xf numFmtId="201" fontId="18" fillId="11" borderId="0" xfId="0" applyNumberFormat="1" applyFont="1" applyFill="1" applyBorder="1" applyAlignment="1">
      <x:alignment vertical="center" wrapText="1"/>
    </x:xf>
    <x:xf numFmtId="201" fontId="18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200" fontId="19" fillId="0" borderId="0" xfId="0" applyNumberFormat="1" applyFont="1" applyFill="1" applyBorder="1" applyAlignment="1">
      <x:alignment vertical="center" wrapText="1"/>
    </x:xf>
    <x:xf numFmtId="200" fontId="19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>
          <x:bgColor rgb="FFD8EEEB"/>
        </x:patternFill>
      </x:fill>
    </x:dxf>
    <x:dxf>
      <x:fill>
        <x:patternFill>
          <x:bgColor rgb="FFFDE9E4"/>
        </x:patternFill>
      </x:fill>
    </x:dxf>
    <x:dxf>
      <x:fill>
        <x:patternFill>
          <x:bgColor rgb="FFD8EEEB"/>
        </x:patternFill>
      </x:fill>
    </x:dxf>
    <x:dxf>
      <x:font>
        <x:color rgb="FFC00000"/>
      </x:font>
      <x:fill>
        <x:patternFill>
          <x:bgColor rgb="FFFDE9E4"/>
        </x:patternFill>
      </x:fill>
    </x:dxf>
    <x:dxf>
      <x:font>
        <x:color rgb="FFC6282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6cfaa41f94525" /><Relationship Type="http://schemas.openxmlformats.org/officeDocument/2006/relationships/theme" Target="/xl/theme/theme1.xml" Id="R59d0f623b57848d6" /><Relationship Type="http://schemas.openxmlformats.org/officeDocument/2006/relationships/sharedStrings" Target="/xl/sharedStrings.xml" Id="Rada007fdf4d34560" /><Relationship Type="http://schemas.openxmlformats.org/officeDocument/2006/relationships/worksheet" Target="/xl/worksheets/sheet1.xml" Id="Re85f91f9dea240ce" /><Relationship Type="http://schemas.openxmlformats.org/officeDocument/2006/relationships/worksheet" Target="/xl/worksheets/sheet2.xml" Id="Rf2549d5b34994536" /><Relationship Type="http://schemas.openxmlformats.org/officeDocument/2006/relationships/worksheet" Target="/xl/worksheets/sheet3.xml" Id="R7d956f667aa04af9" /><Relationship Type="http://schemas.openxmlformats.org/officeDocument/2006/relationships/worksheet" Target="/xl/worksheets/sheet4.xml" Id="R766f45bb4b044fb3" /><Relationship Type="http://schemas.openxmlformats.org/officeDocument/2006/relationships/worksheet" Target="/xl/worksheets/sheet5.xml" Id="R78b43351dc734308" /><Relationship Type="http://schemas.openxmlformats.org/officeDocument/2006/relationships/worksheet" Target="/xl/worksheets/sheet6.xml" Id="Rb3f869c823ec4dee" /><Relationship Type="http://schemas.openxmlformats.org/officeDocument/2006/relationships/worksheet" Target="/xl/worksheets/sheet7.xml" Id="R64e1c24eca034c9e" /><Relationship Type="http://schemas.openxmlformats.org/officeDocument/2006/relationships/worksheet" Target="/xl/worksheets/sheet8.xml" Id="Rbe7cbaaa2a3240b2" /><Relationship Type="http://schemas.openxmlformats.org/officeDocument/2006/relationships/worksheet" Target="/xl/worksheets/sheet9.xml" Id="Ra80a0c8929544d66" /><Relationship Type="http://schemas.openxmlformats.org/officeDocument/2006/relationships/worksheet" Target="/xl/worksheets/sheet10.xml" Id="Rf82808f72f834743" /><Relationship Type="http://schemas.openxmlformats.org/officeDocument/2006/relationships/worksheet" Target="/xl/worksheets/sheet11.xml" Id="R18674b7b4bbc40c8" /><Relationship Type="http://schemas.microsoft.com/office/2017/10/relationships/person" Target="/xl/persons/person.xml" Id="R49ea632499224a65" /></Relationships>
</file>

<file path=xl/persons/person.xml><?xml version="1.0" encoding="utf-8"?>
<xltc:personList xmlns:xltc="http://schemas.microsoft.com/office/spreadsheetml/2018/threadedcomments">
  <xltc:person displayName="HealthLoop规划假设" id="{074CA1FA-E7DF-4530-90E9-F2D91607B122}"/>
  <xltc:person displayName="HealthLoop Planning" id="{4ECCA523-0A39-41CF-B131-735FCB708A9D}"/>
  <xltc:person displayName="HealthLoop 规划" id="{52D79732-5F3B-46A8-83F7-6E5412B258D2}"/>
</xltc:personList>
</file>

<file path=xl/tables/table1.xml><?xml version="1.0" encoding="utf-8"?>
<x:table xmlns:x="http://schemas.openxmlformats.org/spreadsheetml/2006/main" id="10" name="RequirementAcceptance" displayName="RequirementAcceptance" ref="A4:K62" headerRowCount="1" totalsRowCount="0" totalsRowShown="0">
  <x:tableColumns count="11">
    <x:tableColumn id="1" name="ID"/>
    <x:tableColumn id="2" name="模块"/>
    <x:tableColumn id="3" name="需求"/>
    <x:tableColumn id="4" name="优先级"/>
    <x:tableColumn id="5" name="负责人"/>
    <x:tableColumn id="6" name="技术复核"/>
    <x:tableColumn id="7" name="依赖"/>
    <x:tableColumn id="8" name="验收标准"/>
    <x:tableColumn id="9" name="依据"/>
    <x:tableColumn id="10" name="状态"/>
    <x:tableColumn id="11" name="验收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RiskRegister" displayName="RiskRegister" ref="A4:H15" headerRowCount="1" totalsRowCount="0" totalsRowShown="0">
  <x:tableColumns count="8">
    <x:tableColumn id="1" name="ID"/>
    <x:tableColumn id="2" name="风险"/>
    <x:tableColumn id="3" name="机率"/>
    <x:tableColumn id="4" name="影响"/>
    <x:tableColumn id="5" name="主责"/>
    <x:tableColumn id="6" name="减低措施"/>
    <x:tableColumn id="7" name="停止／改向条件"/>
    <x:tableColumn id="8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Sources" displayName="Sources" ref="A4:D22" headerRowCount="1" totalsRowCount="0" totalsRowShown="0">
  <x:tableColumns count="4">
    <x:tableColumn id="1" name="来源ID"/>
    <x:tableColumn id="2" name="标题"/>
    <x:tableColumn id="3" name="URL"/>
    <x:tableColumn id="4" name="支持范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8" name="Assumptions" displayName="Assumptions" ref="A4:F23" headerRowCount="1" totalsRowCount="0" totalsRowShown="0">
  <x:tableColumns count="6">
    <x:tableColumn id="1" name="参数"/>
    <x:tableColumn id="2" name="保守"/>
    <x:tableColumn id="3" name="基准"/>
    <x:tableColumn id="4" name="扩展"/>
    <x:tableColumn id="5" name="单位"/>
    <x:tableColumn id="6" name="依据／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0" dT="2026-09-18T14:14:31.241" personId="{074CA1FA-E7DF-4530-90E9-F2D91607B122}" id="{737E18BC-1F3F-0770-E727-A02F8B2D0213}">
    <xltc:text>来源：团队未验证规划假设。HK$36,000为独立月度劳动预算，不由固定周数或排班推算。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9-18T14:14:31.246" personId="{074CA1FA-E7DF-4530-90E9-F2D91607B122}" id="{8757B28B-0B91-30B4-3BB5-B41F8FDC3AFF}">
    <xltc:text>来源：团队代币配置示例。尚未发行、未估值；须另行法律、平台及安全批准。</xltc:text>
  </xltc:threadedComment>
  <xltc:threadedComment ref="D5" dT="2026-09-18T14:14:31.251" personId="{074CA1FA-E7DF-4530-90E9-F2D91607B122}" id="{D248B4C0-DF52-767D-5342-C1C0B9926C74}">
    <xltc:text>来源：团队首次分配事件上限假设。不是日历解锁表，亦不等于实际流通。</xltc:text>
  </xltc:threadedComment>
  <xltc:threadedComment ref="B15" dT="2026-09-18T14:14:31.256" personId="{074CA1FA-E7DF-4530-90E9-F2D91607B122}" id="{45303A66-5D5C-1142-0808-75CF902DE5BC}">
    <xltc:text>来源：团队总供应建模假设，非估值或发行授权。</xltc:text>
  </xltc:threadedComment>
  <xltc:threadedComment ref="B17" dT="2026-09-18T14:14:31.259" personId="{074CA1FA-E7DF-4530-90E9-F2D91607B122}" id="{41CD8096-7808-61B9-9DB6-3EAB6EA79814}">
    <xltc:text>来源：团队单批次假设；100万预算、1000名合资格用户、每人上限200枚。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a35ada4a6145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0ea4b3110274f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4bf31786c0445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1.xml" Id="Ra147be7903fa46e0" /><Relationship Type="http://schemas.openxmlformats.org/officeDocument/2006/relationships/vmlDrawing" Target="/xl/drawings/vmldrawing.vml" Id="Rd9a519144fa64c60" /><Relationship Type="http://schemas.microsoft.com/office/2017/10/relationships/threadedComment" Target="/xl/threadedcomments/threadedcomment.xml" Id="R2fce4716ae4347f2" /><Relationship Type="http://schemas.openxmlformats.org/officeDocument/2006/relationships/table" Target="/xl/tables/table4.xml" Id="Rac05a292abc64c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2.xml" Id="R27702565873c462d" /><Relationship Type="http://schemas.openxmlformats.org/officeDocument/2006/relationships/vmlDrawing" Target="/xl/drawings/vmldrawing2.vml" Id="R35365eedaa0e4105" /><Relationship Type="http://schemas.microsoft.com/office/2017/10/relationships/threadedComment" Target="/xl/threadedcomments/threadedcomment2.xml" Id="Rf25ae1326182497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" hidden="0" customWidth="1"/>
    <x:col min="3" max="3" width="34" hidden="0" customWidth="1"/>
    <x:col min="4" max="4" width="10" hidden="0" customWidth="1"/>
    <x:col min="5" max="5" width="9" hidden="0" customWidth="1"/>
    <x:col min="6" max="6" width="10" hidden="0" customWidth="1"/>
    <x:col min="7" max="7" width="21" hidden="0" customWidth="1"/>
    <x:col min="8" max="8" width="55" hidden="0" customWidth="1"/>
    <x:col min="9" max="9" width="17" hidden="0" customWidth="1"/>
    <x:col min="10" max="10" width="12" hidden="0" customWidth="1"/>
    <x:col min="11" max="11" width="32" hidden="0" customWidth="1"/>
    <x:col min="12" max="12" width="12" hidden="0" customWidth="1"/>
  </x:cols>
  <x:sheetData>
    <x:row r="1" ht="36" customHeight="1">
      <x:c r="A1" s="115" t="str">
        <x:v>HEALTHLOOP｜产品需求与验收清单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/>
    </x:row>
    <x:row r="2" ht="42" customHeight="1">
      <x:c r="A2" s="116" t="str">
        <x:v>58项需求仅由B／C负责并交叉复核。按依赖及验收推进，不设交付日期或工时承诺；A／D保留商业与测试支持。</x:v>
      </x:c>
      <x:c r="B2" s="116"/>
      <x:c r="C2" s="116"/>
      <x:c r="D2" s="116"/>
      <x:c r="E2" s="116"/>
      <x:c r="F2" s="116"/>
      <x:c r="G2" s="116"/>
      <x:c r="H2" s="116"/>
      <x:c r="I2" s="116"/>
      <x:c r="J2" s="116"/>
      <x:c r="K2" s="116"/>
      <x:c r="L2"/>
    </x:row>
    <x:row r="3" ht="9" customHeight="1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  <x:c r="K3" s="113"/>
      <x:c r="L3"/>
    </x:row>
    <x:row r="4" ht="28" customHeight="1">
      <x:c r="A4" s="117" t="str">
        <x:v>ID</x:v>
      </x:c>
      <x:c r="B4" s="117" t="str">
        <x:v>模块</x:v>
      </x:c>
      <x:c r="C4" s="117" t="str">
        <x:v>需求</x:v>
      </x:c>
      <x:c r="D4" s="117" t="str">
        <x:v>优先级</x:v>
      </x:c>
      <x:c r="E4" s="117" t="str">
        <x:v>负责人</x:v>
      </x:c>
      <x:c r="F4" s="117" t="str">
        <x:v>技术复核</x:v>
      </x:c>
      <x:c r="G4" s="117" t="str">
        <x:v>依赖</x:v>
      </x:c>
      <x:c r="H4" s="117" t="str">
        <x:v>验收标准</x:v>
      </x:c>
      <x:c r="I4" s="117" t="str">
        <x:v>依据</x:v>
      </x:c>
      <x:c r="J4" s="117" t="str">
        <x:v>状态</x:v>
      </x:c>
      <x:c r="K4" s="117" t="str">
        <x:v>验收证据</x:v>
      </x:c>
      <x:c r="L4"/>
    </x:row>
    <x:row r="5" ht="64" customHeight="1">
      <x:c r="A5" s="118" t="str">
        <x:v>P01</x:v>
      </x:c>
      <x:c r="B5" s="118" t="str">
        <x:v>帐户</x:v>
      </x:c>
      <x:c r="C5" s="118" t="str">
        <x:v>电邮一次性验证登入、登出</x:v>
      </x:c>
      <x:c r="D5" s="118" t="str">
        <x:v>P0</x:v>
      </x:c>
      <x:c r="E5" s="118" t="str">
        <x:v>B</x:v>
      </x:c>
      <x:c r="F5" s="118" t="str">
        <x:v>C</x:v>
      </x:c>
      <x:c r="G5" s="118" t="str">
        <x:v>P36</x:v>
      </x:c>
      <x:c r="H5" s="118" t="str">
        <x:v>错码/过期码被拒；登出清除本机敏感快取；不强制钱包</x:v>
      </x:c>
      <x:c r="I5" s="118" t="str">
        <x:v>设计建议</x:v>
      </x:c>
      <x:c r="J5" s="118" t="str">
        <x:v>未开始</x:v>
      </x:c>
      <x:c r="K5" s="119" t="str"/>
      <x:c r="L5"/>
    </x:row>
    <x:row r="6" ht="64" customHeight="1">
      <x:c r="A6" s="113" t="str">
        <x:v>P02</x:v>
      </x:c>
      <x:c r="B6" s="113" t="str">
        <x:v>私隐</x:v>
      </x:c>
      <x:c r="C6" s="113" t="str">
        <x:v>同意页、18岁以上、非医疗声明</x:v>
      </x:c>
      <x:c r="D6" s="113" t="str">
        <x:v>P0</x:v>
      </x:c>
      <x:c r="E6" s="113" t="str">
        <x:v>B</x:v>
      </x:c>
      <x:c r="F6" s="113" t="str">
        <x:v>C</x:v>
      </x:c>
      <x:c r="G6" s="113" t="str">
        <x:v>—</x:v>
      </x:c>
      <x:c r="H6" s="113" t="str">
        <x:v>健康读取、云端同步及行销同意分开；保存版本/时间</x:v>
      </x:c>
      <x:c r="I6" s="113" t="str">
        <x:v>S01;S03;S12</x:v>
      </x:c>
      <x:c r="J6" s="113" t="str">
        <x:v>未开始</x:v>
      </x:c>
      <x:c r="K6" s="120" t="str"/>
      <x:c r="L6"/>
    </x:row>
    <x:row r="7" ht="64" customHeight="1">
      <x:c r="A7" s="118" t="str">
        <x:v>P03</x:v>
      </x:c>
      <x:c r="B7" s="118" t="str">
        <x:v>健康</x:v>
      </x:c>
      <x:c r="C7" s="118" t="str">
        <x:v>HealthKit唯读权限与实机打通</x:v>
      </x:c>
      <x:c r="D7" s="118" t="str">
        <x:v>P0</x:v>
      </x:c>
      <x:c r="E7" s="118" t="str">
        <x:v>B</x:v>
      </x:c>
      <x:c r="F7" s="118" t="str">
        <x:v>C</x:v>
      </x:c>
      <x:c r="G7" s="118" t="str">
        <x:v>P02</x:v>
      </x:c>
      <x:c r="H7" s="118" t="str">
        <x:v>至少2部iPhone可读当日步数；拒绝/撤回不崩溃</x:v>
      </x:c>
      <x:c r="I7" s="118" t="str">
        <x:v>S05;S13</x:v>
      </x:c>
      <x:c r="J7" s="118" t="str">
        <x:v>未开始</x:v>
      </x:c>
      <x:c r="K7" s="119" t="str"/>
      <x:c r="L7"/>
    </x:row>
    <x:row r="8" ht="64" customHeight="1">
      <x:c r="A8" s="113" t="str">
        <x:v>P04</x:v>
      </x:c>
      <x:c r="B8" s="113" t="str">
        <x:v>健康</x:v>
      </x:c>
      <x:c r="C8" s="113" t="str">
        <x:v>步数首页与7天历史</x:v>
      </x:c>
      <x:c r="D8" s="113" t="str">
        <x:v>P0</x:v>
      </x:c>
      <x:c r="E8" s="113" t="str">
        <x:v>B</x:v>
      </x:c>
      <x:c r="F8" s="113" t="str">
        <x:v>C</x:v>
      </x:c>
      <x:c r="G8" s="113" t="str">
        <x:v>P03</x:v>
      </x:c>
      <x:c r="H8" s="113" t="str">
        <x:v>显示来源、更新时间；无资料不当作0；图表可阅读</x:v>
      </x:c>
      <x:c r="I8" s="113" t="str">
        <x:v>S05</x:v>
      </x:c>
      <x:c r="J8" s="113" t="str">
        <x:v>未开始</x:v>
      </x:c>
      <x:c r="K8" s="120" t="str"/>
      <x:c r="L8"/>
    </x:row>
    <x:row r="9" ht="64" customHeight="1">
      <x:c r="A9" s="118" t="str">
        <x:v>P05</x:v>
      </x:c>
      <x:c r="B9" s="118" t="str">
        <x:v>健康</x:v>
      </x:c>
      <x:c r="C9" s="118" t="str">
        <x:v>可得睡眠资料唯读显示</x:v>
      </x:c>
      <x:c r="D9" s="118" t="str">
        <x:v>P0</x:v>
      </x:c>
      <x:c r="E9" s="118" t="str">
        <x:v>B</x:v>
      </x:c>
      <x:c r="F9" s="118" t="str">
        <x:v>C</x:v>
      </x:c>
      <x:c r="G9" s="118" t="str">
        <x:v>P03</x:v>
      </x:c>
      <x:c r="H9" s="118" t="str">
        <x:v>有来源显示区间；无来源清楚提示；不上传原始资料</x:v>
      </x:c>
      <x:c r="I9" s="118" t="str">
        <x:v>S05</x:v>
      </x:c>
      <x:c r="J9" s="118" t="str">
        <x:v>未开始</x:v>
      </x:c>
      <x:c r="K9" s="119" t="str"/>
      <x:c r="L9"/>
    </x:row>
    <x:row r="10" ht="64" customHeight="1">
      <x:c r="A10" s="113" t="str">
        <x:v>P06</x:v>
      </x:c>
      <x:c r="B10" s="113" t="str">
        <x:v>健康</x:v>
      </x:c>
      <x:c r="C10" s="113" t="str">
        <x:v>可得心率资料唯读显示</x:v>
      </x:c>
      <x:c r="D10" s="113" t="str">
        <x:v>P0</x:v>
      </x:c>
      <x:c r="E10" s="113" t="str">
        <x:v>B</x:v>
      </x:c>
      <x:c r="F10" s="113" t="str">
        <x:v>C</x:v>
      </x:c>
      <x:c r="G10" s="113" t="str">
        <x:v>P03</x:v>
      </x:c>
      <x:c r="H10" s="113" t="str">
        <x:v>显示最近值与量测时间；缺资料不虚构；不作诊断</x:v>
      </x:c>
      <x:c r="I10" s="113" t="str">
        <x:v>S05</x:v>
      </x:c>
      <x:c r="J10" s="113" t="str">
        <x:v>未开始</x:v>
      </x:c>
      <x:c r="K10" s="120" t="str"/>
      <x:c r="L10"/>
    </x:row>
    <x:row r="11" ht="64" customHeight="1">
      <x:c r="A11" s="118" t="str">
        <x:v>P07</x:v>
      </x:c>
      <x:c r="B11" s="118" t="str">
        <x:v>健康</x:v>
      </x:c>
      <x:c r="C11" s="118" t="str">
        <x:v>来源白名单、去重与日界线</x:v>
      </x:c>
      <x:c r="D11" s="118" t="str">
        <x:v>P0</x:v>
      </x:c>
      <x:c r="E11" s="118" t="str">
        <x:v>B</x:v>
      </x:c>
      <x:c r="F11" s="118" t="str">
        <x:v>C</x:v>
      </x:c>
      <x:c r="G11" s="118" t="str">
        <x:v>P03</x:v>
      </x:c>
      <x:c r="H11" s="118" t="str">
        <x:v>手机/手表重叠不相加；区分显示步数与可奖励步数</x:v>
      </x:c>
      <x:c r="I11" s="118" t="str">
        <x:v>S05;S06</x:v>
      </x:c>
      <x:c r="J11" s="118" t="str">
        <x:v>未开始</x:v>
      </x:c>
      <x:c r="K11" s="119" t="str"/>
      <x:c r="L11"/>
    </x:row>
    <x:row r="12" ht="64" customHeight="1">
      <x:c r="A12" s="113" t="str">
        <x:v>P08</x:v>
      </x:c>
      <x:c r="B12" s="113" t="str">
        <x:v>同步</x:v>
      </x:c>
      <x:c r="C12" s="113" t="str">
        <x:v>最少化每日摘要同步与重试</x:v>
      </x:c>
      <x:c r="D12" s="113" t="str">
        <x:v>P0</x:v>
      </x:c>
      <x:c r="E12" s="113" t="str">
        <x:v>C</x:v>
      </x:c>
      <x:c r="F12" s="113" t="str">
        <x:v>B</x:v>
      </x:c>
      <x:c r="G12" s="113" t="str">
        <x:v>P07;P36</x:v>
      </x:c>
      <x:c r="H12" s="113" t="str">
        <x:v>重试不重复；保留server timestamp/时区/来源等必要栏位</x:v>
      </x:c>
      <x:c r="I12" s="113" t="str">
        <x:v>设计建议</x:v>
      </x:c>
      <x:c r="J12" s="113" t="str">
        <x:v>未开始</x:v>
      </x:c>
      <x:c r="K12" s="120" t="str"/>
      <x:c r="L12"/>
    </x:row>
    <x:row r="13" ht="64" customHeight="1">
      <x:c r="A13" s="118" t="str">
        <x:v>P09</x:v>
      </x:c>
      <x:c r="B13" s="118" t="str">
        <x:v>同步</x:v>
      </x:c>
      <x:c r="C13" s="118" t="str">
        <x:v>离线、空资料与权限撤回状态</x:v>
      </x:c>
      <x:c r="D13" s="118" t="str">
        <x:v>P0</x:v>
      </x:c>
      <x:c r="E13" s="118" t="str">
        <x:v>B</x:v>
      </x:c>
      <x:c r="F13" s="118" t="str">
        <x:v>C</x:v>
      </x:c>
      <x:c r="G13" s="118" t="str">
        <x:v>P04;P08</x:v>
      </x:c>
      <x:c r="H13" s="118" t="str">
        <x:v>离线不发奖；恢复后补同步；撤权后停止新资料收集</x:v>
      </x:c>
      <x:c r="I13" s="118" t="str">
        <x:v>设计建议</x:v>
      </x:c>
      <x:c r="J13" s="118" t="str">
        <x:v>未开始</x:v>
      </x:c>
      <x:c r="K13" s="119" t="str"/>
      <x:c r="L13"/>
    </x:row>
    <x:row r="14" ht="64" customHeight="1">
      <x:c r="A14" s="113" t="str">
        <x:v>P10</x:v>
      </x:c>
      <x:c r="B14" s="113" t="str">
        <x:v>任务</x:v>
      </x:c>
      <x:c r="C14" s="113" t="str">
        <x:v>任务列表/详情/有效期</x:v>
      </x:c>
      <x:c r="D14" s="113" t="str">
        <x:v>P0</x:v>
      </x:c>
      <x:c r="E14" s="113" t="str">
        <x:v>B</x:v>
      </x:c>
      <x:c r="F14" s="113" t="str">
        <x:v>C</x:v>
      </x:c>
      <x:c r="G14" s="113" t="str">
        <x:v>P36</x:v>
      </x:c>
      <x:c r="H14" s="113" t="str">
        <x:v>显示门槛、积分、每日上限、截止时间、规则版本</x:v>
      </x:c>
      <x:c r="I14" s="113" t="str">
        <x:v>设计建议</x:v>
      </x:c>
      <x:c r="J14" s="113" t="str">
        <x:v>未开始</x:v>
      </x:c>
      <x:c r="K14" s="120" t="str"/>
      <x:c r="L14"/>
    </x:row>
    <x:row r="15" ht="64" customHeight="1">
      <x:c r="A15" s="118" t="str">
        <x:v>P11</x:v>
      </x:c>
      <x:c r="B15" s="118" t="str">
        <x:v>任务</x:v>
      </x:c>
      <x:c r="C15" s="118" t="str">
        <x:v>每日最高步数级别判定</x:v>
      </x:c>
      <x:c r="D15" s="118" t="str">
        <x:v>P0</x:v>
      </x:c>
      <x:c r="E15" s="118" t="str">
        <x:v>C</x:v>
      </x:c>
      <x:c r="F15" s="118" t="str">
        <x:v>B</x:v>
      </x:c>
      <x:c r="G15" s="118" t="str">
        <x:v>P08;P10</x:v>
      </x:c>
      <x:c r="H15" s="118" t="str">
        <x:v>3000/5000/7000例子只取最高10/20/30分；同日升级只补差额</x:v>
      </x:c>
      <x:c r="I15" s="118" t="str">
        <x:v>设计建议</x:v>
      </x:c>
      <x:c r="J15" s="118" t="str">
        <x:v>未开始</x:v>
      </x:c>
      <x:c r="K15" s="119" t="str"/>
      <x:c r="L15"/>
    </x:row>
    <x:row r="16" ht="64" customHeight="1">
      <x:c r="A16" s="113" t="str">
        <x:v>P12</x:v>
      </x:c>
      <x:c r="B16" s="113" t="str">
        <x:v>任务</x:v>
      </x:c>
      <x:c r="C16" s="113" t="str">
        <x:v>每周3天达标任务</x:v>
      </x:c>
      <x:c r="D16" s="113" t="str">
        <x:v>P0</x:v>
      </x:c>
      <x:c r="E16" s="113" t="str">
        <x:v>C</x:v>
      </x:c>
      <x:c r="F16" s="113" t="str">
        <x:v>B</x:v>
      </x:c>
      <x:c r="G16" s="113" t="str">
        <x:v>P11</x:v>
      </x:c>
      <x:c r="H16" s="113" t="str">
        <x:v>跨周正确；同周最多一次20分；休息不罚款</x:v>
      </x:c>
      <x:c r="I16" s="113" t="str">
        <x:v>设计建议</x:v>
      </x:c>
      <x:c r="J16" s="113" t="str">
        <x:v>未开始</x:v>
      </x:c>
      <x:c r="K16" s="120" t="str"/>
      <x:c r="L16"/>
    </x:row>
    <x:row r="17" ht="64" customHeight="1">
      <x:c r="A17" s="118" t="str">
        <x:v>P13</x:v>
      </x:c>
      <x:c r="B17" s="118" t="str">
        <x:v>积分</x:v>
      </x:c>
      <x:c r="C17" s="118" t="str">
        <x:v>伺服器端不可覆写流水帐</x:v>
      </x:c>
      <x:c r="D17" s="118" t="str">
        <x:v>P0</x:v>
      </x:c>
      <x:c r="E17" s="118" t="str">
        <x:v>C</x:v>
      </x:c>
      <x:c r="F17" s="118" t="str">
        <x:v>B</x:v>
      </x:c>
      <x:c r="G17" s="118" t="str">
        <x:v>P11</x:v>
      </x:c>
      <x:c r="H17" s="118" t="str">
        <x:v>余额由流水加总；更正用冲销；所有发放可追踪</x:v>
      </x:c>
      <x:c r="I17" s="118" t="str">
        <x:v>设计建议</x:v>
      </x:c>
      <x:c r="J17" s="118" t="str">
        <x:v>未开始</x:v>
      </x:c>
      <x:c r="K17" s="119" t="str"/>
      <x:c r="L17"/>
    </x:row>
    <x:row r="18" ht="64" customHeight="1">
      <x:c r="A18" s="113" t="str">
        <x:v>P14</x:v>
      </x:c>
      <x:c r="B18" s="113" t="str">
        <x:v>积分</x:v>
      </x:c>
      <x:c r="C18" s="113" t="str">
        <x:v>防重领、并行及幂等</x:v>
      </x:c>
      <x:c r="D18" s="113" t="str">
        <x:v>P0</x:v>
      </x:c>
      <x:c r="E18" s="113" t="str">
        <x:v>C</x:v>
      </x:c>
      <x:c r="F18" s="113" t="str">
        <x:v>B</x:v>
      </x:c>
      <x:c r="G18" s="113" t="str">
        <x:v>P13</x:v>
      </x:c>
      <x:c r="H18" s="113" t="str">
        <x:v>相同claim 100次并行只入帐一次；client不能改余额</x:v>
      </x:c>
      <x:c r="I18" s="113" t="str">
        <x:v>设计建议</x:v>
      </x:c>
      <x:c r="J18" s="113" t="str">
        <x:v>未开始</x:v>
      </x:c>
      <x:c r="K18" s="120" t="str"/>
      <x:c r="L18"/>
    </x:row>
    <x:row r="19" ht="64" customHeight="1">
      <x:c r="A19" s="118" t="str">
        <x:v>P15</x:v>
      </x:c>
      <x:c r="B19" s="118" t="str">
        <x:v>积分</x:v>
      </x:c>
      <x:c r="C19" s="118" t="str">
        <x:v>积分余额/待核实/流水页</x:v>
      </x:c>
      <x:c r="D19" s="118" t="str">
        <x:v>P0</x:v>
      </x:c>
      <x:c r="E19" s="118" t="str">
        <x:v>B</x:v>
      </x:c>
      <x:c r="F19" s="118" t="str">
        <x:v>C</x:v>
      </x:c>
      <x:c r="G19" s="118" t="str">
        <x:v>P13</x:v>
      </x:c>
      <x:c r="H19" s="118" t="str">
        <x:v>pending/available/reversed分开；无现金或未来币值</x:v>
      </x:c>
      <x:c r="I19" s="118" t="str">
        <x:v>设计建议</x:v>
      </x:c>
      <x:c r="J19" s="118" t="str">
        <x:v>未开始</x:v>
      </x:c>
      <x:c r="K19" s="119" t="str"/>
      <x:c r="L19"/>
    </x:row>
    <x:row r="20" ht="64" customHeight="1">
      <x:c r="A20" s="113" t="str">
        <x:v>P16</x:v>
      </x:c>
      <x:c r="B20" s="113" t="str">
        <x:v>奖励</x:v>
      </x:c>
      <x:c r="C20" s="113" t="str">
        <x:v>平台徽章与示范奖励目录</x:v>
      </x:c>
      <x:c r="D20" s="113" t="str">
        <x:v>P0</x:v>
      </x:c>
      <x:c r="E20" s="113" t="str">
        <x:v>B</x:v>
      </x:c>
      <x:c r="F20" s="113" t="str">
        <x:v>C</x:v>
      </x:c>
      <x:c r="G20" s="113" t="str">
        <x:v>P15</x:v>
      </x:c>
      <x:c r="H20" s="113" t="str">
        <x:v>示范券清楚标为不可使用；不暗示已签商户</x:v>
      </x:c>
      <x:c r="I20" s="113" t="str">
        <x:v>设计建议</x:v>
      </x:c>
      <x:c r="J20" s="113" t="str">
        <x:v>未开始</x:v>
      </x:c>
      <x:c r="K20" s="120" t="str"/>
      <x:c r="L20"/>
    </x:row>
    <x:row r="21" ht="64" customHeight="1">
      <x:c r="A21" s="118" t="str">
        <x:v>P17</x:v>
      </x:c>
      <x:c r="B21" s="118" t="str">
        <x:v>奖励</x:v>
      </x:c>
      <x:c r="C21" s="118" t="str">
        <x:v>兑换状态及一次性示范码</x:v>
      </x:c>
      <x:c r="D21" s="118" t="str">
        <x:v>P0</x:v>
      </x:c>
      <x:c r="E21" s="118" t="str">
        <x:v>C</x:v>
      </x:c>
      <x:c r="F21" s="118" t="str">
        <x:v>B</x:v>
      </x:c>
      <x:c r="G21" s="118" t="str">
        <x:v>P16</x:v>
      </x:c>
      <x:c r="H21" s="118" t="str">
        <x:v>扣积分与预留库存同一交易；失败回复；不重复兑换</x:v>
      </x:c>
      <x:c r="I21" s="118" t="str">
        <x:v>设计建议</x:v>
      </x:c>
      <x:c r="J21" s="118" t="str">
        <x:v>未开始</x:v>
      </x:c>
      <x:c r="K21" s="119" t="str"/>
      <x:c r="L21"/>
    </x:row>
    <x:row r="22" ht="64" customHeight="1">
      <x:c r="A22" s="113" t="str">
        <x:v>P18</x:v>
      </x:c>
      <x:c r="B22" s="113" t="str">
        <x:v>反作弊</x:v>
      </x:c>
      <x:c r="C22" s="113" t="str">
        <x:v>手动输入/未知来源不计奖励</x:v>
      </x:c>
      <x:c r="D22" s="113" t="str">
        <x:v>P0</x:v>
      </x:c>
      <x:c r="E22" s="113" t="str">
        <x:v>B</x:v>
      </x:c>
      <x:c r="F22" s="113" t="str">
        <x:v>C</x:v>
      </x:c>
      <x:c r="G22" s="113" t="str">
        <x:v>P07</x:v>
      </x:c>
      <x:c r="H22" s="113" t="str">
        <x:v>可显示但不派分；来源不明进待核实；有说明/申诉</x:v>
      </x:c>
      <x:c r="I22" s="113" t="str">
        <x:v>设计建议</x:v>
      </x:c>
      <x:c r="J22" s="113" t="str">
        <x:v>未开始</x:v>
      </x:c>
      <x:c r="K22" s="120" t="str"/>
      <x:c r="L22"/>
    </x:row>
    <x:row r="23" ht="64" customHeight="1">
      <x:c r="A23" s="118" t="str">
        <x:v>P19</x:v>
      </x:c>
      <x:c r="B23" s="118" t="str">
        <x:v>反作弊</x:v>
      </x:c>
      <x:c r="C23" s="118" t="str">
        <x:v>异常增量、频率及日上限</x:v>
      </x:c>
      <x:c r="D23" s="118" t="str">
        <x:v>P0</x:v>
      </x:c>
      <x:c r="E23" s="118" t="str">
        <x:v>C</x:v>
      </x:c>
      <x:c r="F23" s="118" t="str">
        <x:v>B</x:v>
      </x:c>
      <x:c r="G23" s="118" t="str">
        <x:v>P11;P14</x:v>
      </x:c>
      <x:c r="H23" s="118" t="str">
        <x:v>超限/短期异常进人工审核；测试病例结果可重现</x:v>
      </x:c>
      <x:c r="I23" s="118" t="str">
        <x:v>设计建议</x:v>
      </x:c>
      <x:c r="J23" s="118" t="str">
        <x:v>未开始</x:v>
      </x:c>
      <x:c r="K23" s="119" t="str"/>
      <x:c r="L23"/>
    </x:row>
    <x:row r="24" ht="64" customHeight="1">
      <x:c r="A24" s="113" t="str">
        <x:v>P20</x:v>
      </x:c>
      <x:c r="B24" s="113" t="str">
        <x:v>营运</x:v>
      </x:c>
      <x:c r="C24" s="113" t="str">
        <x:v>任务配置管理页</x:v>
      </x:c>
      <x:c r="D24" s="113" t="str">
        <x:v>P0</x:v>
      </x:c>
      <x:c r="E24" s="113" t="str">
        <x:v>C</x:v>
      </x:c>
      <x:c r="F24" s="113" t="str">
        <x:v>B</x:v>
      </x:c>
      <x:c r="G24" s="113" t="str">
        <x:v>P10;P13</x:v>
      </x:c>
      <x:c r="H24" s="113" t="str">
        <x:v>发布前预览；不可追溯修改已完成任务；有版本</x:v>
      </x:c>
      <x:c r="I24" s="113" t="str">
        <x:v>设计建议</x:v>
      </x:c>
      <x:c r="J24" s="113" t="str">
        <x:v>未开始</x:v>
      </x:c>
      <x:c r="K24" s="120" t="str"/>
      <x:c r="L24"/>
    </x:row>
    <x:row r="25" ht="64" customHeight="1">
      <x:c r="A25" s="118" t="str">
        <x:v>P21</x:v>
      </x:c>
      <x:c r="B25" s="118" t="str">
        <x:v>营运</x:v>
      </x:c>
      <x:c r="C25" s="118" t="str">
        <x:v>使用者申诉及调整审批</x:v>
      </x:c>
      <x:c r="D25" s="118" t="str">
        <x:v>P0</x:v>
      </x:c>
      <x:c r="E25" s="118" t="str">
        <x:v>C</x:v>
      </x:c>
      <x:c r="F25" s="118" t="str">
        <x:v>B</x:v>
      </x:c>
      <x:c r="G25" s="118" t="str">
        <x:v>P19</x:v>
      </x:c>
      <x:c r="H25" s="118" t="str">
        <x:v>所有调整附理由；高风险操作需第二人确认</x:v>
      </x:c>
      <x:c r="I25" s="118" t="str">
        <x:v>设计建议</x:v>
      </x:c>
      <x:c r="J25" s="118" t="str">
        <x:v>未开始</x:v>
      </x:c>
      <x:c r="K25" s="119" t="str"/>
      <x:c r="L25"/>
    </x:row>
    <x:row r="26" ht="64" customHeight="1">
      <x:c r="A26" s="113" t="str">
        <x:v>P22</x:v>
      </x:c>
      <x:c r="B26" s="113" t="str">
        <x:v>营运</x:v>
      </x:c>
      <x:c r="C26" s="113" t="str">
        <x:v>管理员权限与审计记录</x:v>
      </x:c>
      <x:c r="D26" s="113" t="str">
        <x:v>P0</x:v>
      </x:c>
      <x:c r="E26" s="113" t="str">
        <x:v>C</x:v>
      </x:c>
      <x:c r="F26" s="113" t="str">
        <x:v>B</x:v>
      </x:c>
      <x:c r="G26" s="113" t="str">
        <x:v>P20</x:v>
      </x:c>
      <x:c r="H26" s="113" t="str">
        <x:v>一般使用者不可看管理页/接口；管理操作完整纪录</x:v>
      </x:c>
      <x:c r="I26" s="113" t="str">
        <x:v>设计建议</x:v>
      </x:c>
      <x:c r="J26" s="113" t="str">
        <x:v>未开始</x:v>
      </x:c>
      <x:c r="K26" s="120" t="str"/>
      <x:c r="L26"/>
    </x:row>
    <x:row r="27" ht="64" customHeight="1">
      <x:c r="A27" s="118" t="str">
        <x:v>P23</x:v>
      </x:c>
      <x:c r="B27" s="118" t="str">
        <x:v>广告</x:v>
      </x:c>
      <x:c r="C27" s="118" t="str">
        <x:v>非个人化直接赞助卡片</x:v>
      </x:c>
      <x:c r="D27" s="118" t="str">
        <x:v>P0</x:v>
      </x:c>
      <x:c r="E27" s="118" t="str">
        <x:v>B</x:v>
      </x:c>
      <x:c r="F27" s="118" t="str">
        <x:v>C</x:v>
      </x:c>
      <x:c r="G27" s="118" t="str">
        <x:v>P02</x:v>
      </x:c>
      <x:c r="H27" s="118" t="str">
        <x:v>全体或按非健康版位轮播；不按步数/睡眠/达标改投放</x:v>
      </x:c>
      <x:c r="I27" s="118" t="str">
        <x:v>S01;S03</x:v>
      </x:c>
      <x:c r="J27" s="118" t="str">
        <x:v>未开始</x:v>
      </x:c>
      <x:c r="K27" s="119" t="str"/>
      <x:c r="L27"/>
    </x:row>
    <x:row r="28" ht="64" customHeight="1">
      <x:c r="A28" s="113" t="str">
        <x:v>P24</x:v>
      </x:c>
      <x:c r="B28" s="113" t="str">
        <x:v>广告</x:v>
      </x:c>
      <x:c r="C28" s="113" t="str">
        <x:v>广告事件与健康资料隔离</x:v>
      </x:c>
      <x:c r="D28" s="113" t="str">
        <x:v>P0</x:v>
      </x:c>
      <x:c r="E28" s="113" t="str">
        <x:v>C</x:v>
      </x:c>
      <x:c r="F28" s="113" t="str">
        <x:v>B</x:v>
      </x:c>
      <x:c r="G28" s="113" t="str">
        <x:v>P23</x:v>
      </x:c>
      <x:c r="H28" s="113" t="str">
        <x:v>封包检查无健康值/健康标签/钱包；点击不触发派分</x:v>
      </x:c>
      <x:c r="I28" s="113" t="str">
        <x:v>S01;S02;S03</x:v>
      </x:c>
      <x:c r="J28" s="113" t="str">
        <x:v>未开始</x:v>
      </x:c>
      <x:c r="K28" s="120" t="str"/>
      <x:c r="L28"/>
    </x:row>
    <x:row r="29" ht="64" customHeight="1">
      <x:c r="A29" s="118" t="str">
        <x:v>P25</x:v>
      </x:c>
      <x:c r="B29" s="118" t="str">
        <x:v>私隐</x:v>
      </x:c>
      <x:c r="C29" s="118" t="str">
        <x:v>帐户删除与资料汇出/更正</x:v>
      </x:c>
      <x:c r="D29" s="118" t="str">
        <x:v>P0</x:v>
      </x:c>
      <x:c r="E29" s="118" t="str">
        <x:v>C</x:v>
      </x:c>
      <x:c r="F29" s="118" t="str">
        <x:v>B</x:v>
      </x:c>
      <x:c r="G29" s="118" t="str">
        <x:v>P08;P13</x:v>
      </x:c>
      <x:c r="H29" s="118" t="str">
        <x:v>删除入口可用；已删帐户不能重新读资料；依法保留另有依据</x:v>
      </x:c>
      <x:c r="I29" s="118" t="str">
        <x:v>S12</x:v>
      </x:c>
      <x:c r="J29" s="118" t="str">
        <x:v>未开始</x:v>
      </x:c>
      <x:c r="K29" s="119" t="str"/>
      <x:c r="L29"/>
    </x:row>
    <x:row r="30" ht="64" customHeight="1">
      <x:c r="A30" s="113" t="str">
        <x:v>P26</x:v>
      </x:c>
      <x:c r="B30" s="113" t="str">
        <x:v>安全</x:v>
      </x:c>
      <x:c r="C30" s="113" t="str">
        <x:v>RLS、密钥及环境隔离</x:v>
      </x:c>
      <x:c r="D30" s="113" t="str">
        <x:v>P0</x:v>
      </x:c>
      <x:c r="E30" s="113" t="str">
        <x:v>C</x:v>
      </x:c>
      <x:c r="F30" s="113" t="str">
        <x:v>B</x:v>
      </x:c>
      <x:c r="G30" s="113" t="str">
        <x:v>P36</x:v>
      </x:c>
      <x:c r="H30" s="113" t="str">
        <x:v>A用户无法读B资料；service key不在app；demo不接production</x:v>
      </x:c>
      <x:c r="I30" s="113" t="str">
        <x:v>S18</x:v>
      </x:c>
      <x:c r="J30" s="113" t="str">
        <x:v>未开始</x:v>
      </x:c>
      <x:c r="K30" s="120" t="str"/>
      <x:c r="L30"/>
    </x:row>
    <x:row r="31" ht="64" customHeight="1">
      <x:c r="A31" s="118" t="str">
        <x:v>P27</x:v>
      </x:c>
      <x:c r="B31" s="118" t="str">
        <x:v>安全</x:v>
      </x:c>
      <x:c r="C31" s="118" t="str">
        <x:v>备份、还原与事故停止发奖</x:v>
      </x:c>
      <x:c r="D31" s="118" t="str">
        <x:v>P0</x:v>
      </x:c>
      <x:c r="E31" s="118" t="str">
        <x:v>C</x:v>
      </x:c>
      <x:c r="F31" s="118" t="str">
        <x:v>B</x:v>
      </x:c>
      <x:c r="G31" s="118" t="str">
        <x:v>P13;P26</x:v>
      </x:c>
      <x:c r="H31" s="118" t="str">
        <x:v>演练还原成功；可停发新奖但保留历史帐目</x:v>
      </x:c>
      <x:c r="I31" s="118" t="str">
        <x:v>设计建议</x:v>
      </x:c>
      <x:c r="J31" s="118" t="str">
        <x:v>未开始</x:v>
      </x:c>
      <x:c r="K31" s="119" t="str"/>
      <x:c r="L31"/>
    </x:row>
    <x:row r="32" ht="64" customHeight="1">
      <x:c r="A32" s="113" t="str">
        <x:v>P28</x:v>
      </x:c>
      <x:c r="B32" s="113" t="str">
        <x:v>品质</x:v>
      </x:c>
      <x:c r="C32" s="113" t="str">
        <x:v>简体中文界面、大字体及可及性</x:v>
      </x:c>
      <x:c r="D32" s="113" t="str">
        <x:v>P0</x:v>
      </x:c>
      <x:c r="E32" s="113" t="str">
        <x:v>B</x:v>
      </x:c>
      <x:c r="F32" s="113" t="str">
        <x:v>C</x:v>
      </x:c>
      <x:c r="G32" s="113" t="str">
        <x:v>P04;P15</x:v>
      </x:c>
      <x:c r="H32" s="113" t="str">
        <x:v>主要页面大字无裁切；状态不只靠颜色辨认</x:v>
      </x:c>
      <x:c r="I32" s="113" t="str">
        <x:v>设计建议</x:v>
      </x:c>
      <x:c r="J32" s="113" t="str">
        <x:v>未开始</x:v>
      </x:c>
      <x:c r="K32" s="120" t="str"/>
      <x:c r="L32"/>
    </x:row>
    <x:row r="33" ht="64" customHeight="1">
      <x:c r="A33" s="118" t="str">
        <x:v>P29</x:v>
      </x:c>
      <x:c r="B33" s="118" t="str">
        <x:v>品质</x:v>
      </x:c>
      <x:c r="C33" s="118" t="str">
        <x:v>提示/通知偏好与安静时段</x:v>
      </x:c>
      <x:c r="D33" s="118" t="str">
        <x:v>P0</x:v>
      </x:c>
      <x:c r="E33" s="118" t="str">
        <x:v>C</x:v>
      </x:c>
      <x:c r="F33" s="118" t="str">
        <x:v>B</x:v>
      </x:c>
      <x:c r="G33" s="118" t="str">
        <x:v>P10</x:v>
      </x:c>
      <x:c r="H33" s="118" t="str">
        <x:v>拒通知仍能使用；可关提醒；不发催促熬夜/过量运动讯息</x:v>
      </x:c>
      <x:c r="I33" s="118" t="str">
        <x:v>设计建议</x:v>
      </x:c>
      <x:c r="J33" s="118" t="str">
        <x:v>未开始</x:v>
      </x:c>
      <x:c r="K33" s="119" t="str"/>
      <x:c r="L33"/>
    </x:row>
    <x:row r="34" ht="64" customHeight="1">
      <x:c r="A34" s="113" t="str">
        <x:v>P30</x:v>
      </x:c>
      <x:c r="B34" s="113" t="str">
        <x:v>分析</x:v>
      </x:c>
      <x:c r="C34" s="113" t="str">
        <x:v>第一方产品事件与指标报表</x:v>
      </x:c>
      <x:c r="D34" s="113" t="str">
        <x:v>P0</x:v>
      </x:c>
      <x:c r="E34" s="113" t="str">
        <x:v>C</x:v>
      </x:c>
      <x:c r="F34" s="113" t="str">
        <x:v>B</x:v>
      </x:c>
      <x:c r="G34" s="113" t="str">
        <x:v>P08;P11</x:v>
      </x:c>
      <x:c r="H34" s="113" t="str">
        <x:v>定义cohort/activation/D7/D28；无健康值送第三方分析</x:v>
      </x:c>
      <x:c r="I34" s="113" t="str">
        <x:v>设计建议</x:v>
      </x:c>
      <x:c r="J34" s="113" t="str">
        <x:v>未开始</x:v>
      </x:c>
      <x:c r="K34" s="120" t="str"/>
      <x:c r="L34"/>
    </x:row>
    <x:row r="35" ht="64" customHeight="1">
      <x:c r="A35" s="118" t="str">
        <x:v>P31</x:v>
      </x:c>
      <x:c r="B35" s="118" t="str">
        <x:v>品质</x:v>
      </x:c>
      <x:c r="C35" s="118" t="str">
        <x:v>端到端及错误情境测试</x:v>
      </x:c>
      <x:c r="D35" s="118" t="str">
        <x:v>P0</x:v>
      </x:c>
      <x:c r="E35" s="118" t="str">
        <x:v>B</x:v>
      </x:c>
      <x:c r="F35" s="118" t="str">
        <x:v>C</x:v>
      </x:c>
      <x:c r="G35" s="118" t="str">
        <x:v>P14;P17;P24;P25</x:v>
      </x:c>
      <x:c r="H35" s="118" t="str">
        <x:v>验收测试矩阵全过；critical/high未解缺陷为0</x:v>
      </x:c>
      <x:c r="I35" s="118" t="str">
        <x:v>设计建议</x:v>
      </x:c>
      <x:c r="J35" s="118" t="str">
        <x:v>未开始</x:v>
      </x:c>
      <x:c r="K35" s="119" t="str"/>
      <x:c r="L35"/>
    </x:row>
    <x:row r="36" ht="64" customHeight="1">
      <x:c r="A36" s="113" t="str">
        <x:v>P32</x:v>
      </x:c>
      <x:c r="B36" s="113" t="str">
        <x:v>发布</x:v>
      </x:c>
      <x:c r="C36" s="113" t="str">
        <x:v>积分版签署/安装与审查材料</x:v>
      </x:c>
      <x:c r="D36" s="113" t="str">
        <x:v>P0</x:v>
      </x:c>
      <x:c r="E36" s="113" t="str">
        <x:v>B</x:v>
      </x:c>
      <x:c r="F36" s="113" t="str">
        <x:v>C</x:v>
      </x:c>
      <x:c r="G36" s="113" t="str">
        <x:v>P31</x:v>
      </x:c>
      <x:c r="H36" s="113" t="str">
        <x:v>可安装实机；隐私标示符合实际；无隐藏mainnet模组</x:v>
      </x:c>
      <x:c r="I36" s="113" t="str">
        <x:v>S01</x:v>
      </x:c>
      <x:c r="J36" s="113" t="str">
        <x:v>未开始</x:v>
      </x:c>
      <x:c r="K36" s="120" t="str"/>
      <x:c r="L36"/>
    </x:row>
    <x:row r="37" ht="64" customHeight="1">
      <x:c r="A37" s="118" t="str">
        <x:v>P33</x:v>
      </x:c>
      <x:c r="B37" s="118" t="str">
        <x:v>产品</x:v>
      </x:c>
      <x:c r="C37" s="118" t="str">
        <x:v>PRD、UI流程与范围冻结</x:v>
      </x:c>
      <x:c r="D37" s="118" t="str">
        <x:v>P0</x:v>
      </x:c>
      <x:c r="E37" s="118" t="str">
        <x:v>B</x:v>
      </x:c>
      <x:c r="F37" s="118" t="str">
        <x:v>C</x:v>
      </x:c>
      <x:c r="G37" s="118" t="str">
        <x:v>—</x:v>
      </x:c>
      <x:c r="H37" s="118" t="str">
        <x:v>每项P0有验收人；P1/P2不可挤走主路径</x:v>
      </x:c>
      <x:c r="I37" s="118" t="str">
        <x:v>设计建议</x:v>
      </x:c>
      <x:c r="J37" s="118" t="str">
        <x:v>未开始</x:v>
      </x:c>
      <x:c r="K37" s="119" t="str"/>
      <x:c r="L37"/>
    </x:row>
    <x:row r="38" ht="64" customHeight="1">
      <x:c r="A38" s="113" t="str">
        <x:v>P34</x:v>
      </x:c>
      <x:c r="B38" s="113" t="str">
        <x:v>品质</x:v>
      </x:c>
      <x:c r="C38" s="113" t="str">
        <x:v>设计元件与互动原型</x:v>
      </x:c>
      <x:c r="D38" s="113" t="str">
        <x:v>P0</x:v>
      </x:c>
      <x:c r="E38" s="113" t="str">
        <x:v>B</x:v>
      </x:c>
      <x:c r="F38" s="113" t="str">
        <x:v>C</x:v>
      </x:c>
      <x:c r="G38" s="113" t="str">
        <x:v>P33</x:v>
      </x:c>
      <x:c r="H38" s="113" t="str">
        <x:v>首用/健康/任务/积分/设定流程可点击</x:v>
      </x:c>
      <x:c r="I38" s="113" t="str">
        <x:v>设计建议</x:v>
      </x:c>
      <x:c r="J38" s="113" t="str">
        <x:v>未开始</x:v>
      </x:c>
      <x:c r="K38" s="120" t="str"/>
      <x:c r="L38"/>
    </x:row>
    <x:row r="39" ht="64" customHeight="1">
      <x:c r="A39" s="118" t="str">
        <x:v>P35</x:v>
      </x:c>
      <x:c r="B39" s="118" t="str">
        <x:v>安全</x:v>
      </x:c>
      <x:c r="C39" s="118" t="str">
        <x:v>同意/保留期/供应商清单</x:v>
      </x:c>
      <x:c r="D39" s="118" t="str">
        <x:v>P0</x:v>
      </x:c>
      <x:c r="E39" s="118" t="str">
        <x:v>C</x:v>
      </x:c>
      <x:c r="F39" s="118" t="str">
        <x:v>B</x:v>
      </x:c>
      <x:c r="G39" s="118" t="str">
        <x:v>P02</x:v>
      </x:c>
      <x:c r="H39" s="118" t="str">
        <x:v>资料地图、用途、保存/删除、第三方处理者有纪录</x:v>
      </x:c>
      <x:c r="I39" s="118" t="str">
        <x:v>S03;S12</x:v>
      </x:c>
      <x:c r="J39" s="118" t="str">
        <x:v>未开始</x:v>
      </x:c>
      <x:c r="K39" s="119" t="str"/>
      <x:c r="L39"/>
    </x:row>
    <x:row r="40" ht="64" customHeight="1">
      <x:c r="A40" s="113" t="str">
        <x:v>P36</x:v>
      </x:c>
      <x:c r="B40" s="113" t="str">
        <x:v>基础</x:v>
      </x:c>
      <x:c r="C40" s="113" t="str">
        <x:v>Repo、CI、资料模型及环境</x:v>
      </x:c>
      <x:c r="D40" s="113" t="str">
        <x:v>P0</x:v>
      </x:c>
      <x:c r="E40" s="113" t="str">
        <x:v>C</x:v>
      </x:c>
      <x:c r="F40" s="113" t="str">
        <x:v>B</x:v>
      </x:c>
      <x:c r="G40" s="113" t="str">
        <x:v>P33</x:v>
      </x:c>
      <x:c r="H40" s="113" t="str">
        <x:v>可重建安装；lint/typecheck/test入CI；.env.example无密钥</x:v>
      </x:c>
      <x:c r="I40" s="113" t="str">
        <x:v>设计建议</x:v>
      </x:c>
      <x:c r="J40" s="113" t="str">
        <x:v>未开始</x:v>
      </x:c>
      <x:c r="K40" s="120" t="str"/>
      <x:c r="L40"/>
    </x:row>
    <x:row r="41" ht="64" customHeight="1">
      <x:c r="A41" s="118" t="str">
        <x:v>L01</x:v>
      </x:c>
      <x:c r="B41" s="118" t="str">
        <x:v>Web3 Lab</x:v>
      </x:c>
      <x:c r="C41" s="118" t="str">
        <x:v>独立sandbox与合成任务资料</x:v>
      </x:c>
      <x:c r="D41" s="118" t="str">
        <x:v>LAB</x:v>
      </x:c>
      <x:c r="E41" s="118" t="str">
        <x:v>B</x:v>
      </x:c>
      <x:c r="F41" s="118" t="str">
        <x:v>C</x:v>
      </x:c>
      <x:c r="G41" s="118" t="str">
        <x:v>P36</x:v>
      </x:c>
      <x:c r="H41" s="118" t="str">
        <x:v>不同project/package/db；不读HealthKit；无production帐户</x:v>
      </x:c>
      <x:c r="I41" s="118" t="str">
        <x:v>设计建议</x:v>
      </x:c>
      <x:c r="J41" s="118" t="str">
        <x:v>未开始</x:v>
      </x:c>
      <x:c r="K41" s="119" t="str"/>
      <x:c r="L41"/>
    </x:row>
    <x:row r="42" ht="64" customHeight="1">
      <x:c r="A42" s="113" t="str">
        <x:v>L02</x:v>
      </x:c>
      <x:c r="B42" s="113" t="str">
        <x:v>Web3 Lab</x:v>
      </x:c>
      <x:c r="C42" s="113" t="str">
        <x:v>Reown连接MetaMask及Trust Wallet</x:v>
      </x:c>
      <x:c r="D42" s="113" t="str">
        <x:v>LAB</x:v>
      </x:c>
      <x:c r="E42" s="113" t="str">
        <x:v>B</x:v>
      </x:c>
      <x:c r="F42" s="113" t="str">
        <x:v>C</x:v>
      </x:c>
      <x:c r="G42" s="113" t="str">
        <x:v>L01</x:v>
      </x:c>
      <x:c r="H42" s="113" t="str">
        <x:v>两款钱包各完成连接/断线/拒签；版本列于测试报告</x:v>
      </x:c>
      <x:c r="I42" s="113" t="str">
        <x:v>S14</x:v>
      </x:c>
      <x:c r="J42" s="113" t="str">
        <x:v>未开始</x:v>
      </x:c>
      <x:c r="K42" s="120" t="str"/>
      <x:c r="L42"/>
    </x:row>
    <x:row r="43" ht="64" customHeight="1">
      <x:c r="A43" s="118" t="str">
        <x:v>L03</x:v>
      </x:c>
      <x:c r="B43" s="118" t="str">
        <x:v>Web3 Lab</x:v>
      </x:c>
      <x:c r="C43" s="118" t="str">
        <x:v>SIWE nonce/域名/到期验证</x:v>
      </x:c>
      <x:c r="D43" s="118" t="str">
        <x:v>LAB</x:v>
      </x:c>
      <x:c r="E43" s="118" t="str">
        <x:v>C</x:v>
      </x:c>
      <x:c r="F43" s="118" t="str">
        <x:v>B</x:v>
      </x:c>
      <x:c r="G43" s="118" t="str">
        <x:v>L02</x:v>
      </x:c>
      <x:c r="H43" s="118" t="str">
        <x:v>重播、错域名、错chain及过期签署均被拒</x:v>
      </x:c>
      <x:c r="I43" s="118" t="str">
        <x:v>S17</x:v>
      </x:c>
      <x:c r="J43" s="118" t="str">
        <x:v>未开始</x:v>
      </x:c>
      <x:c r="K43" s="119" t="str"/>
      <x:c r="L43"/>
    </x:row>
    <x:row r="44" ht="64" customHeight="1">
      <x:c r="A44" s="113" t="str">
        <x:v>L04</x:v>
      </x:c>
      <x:c r="B44" s="113" t="str">
        <x:v>Web3 Lab</x:v>
      </x:c>
      <x:c r="C44" s="113" t="str">
        <x:v>TEST-HLT固定量测试币</x:v>
      </x:c>
      <x:c r="D44" s="113" t="str">
        <x:v>LAB</x:v>
      </x:c>
      <x:c r="E44" s="113" t="str">
        <x:v>C</x:v>
      </x:c>
      <x:c r="F44" s="113" t="str">
        <x:v>B</x:v>
      </x:c>
      <x:c r="G44" s="113" t="str">
        <x:v>L01</x:v>
      </x:c>
      <x:c r="H44" s="113" t="str">
        <x:v>只部署Base Sepolia；代币及画面标明无价值/无兑换权</x:v>
      </x:c>
      <x:c r="I44" s="113" t="str">
        <x:v>S15;S16</x:v>
      </x:c>
      <x:c r="J44" s="113" t="str">
        <x:v>未开始</x:v>
      </x:c>
      <x:c r="K44" s="120" t="str"/>
      <x:c r="L44"/>
    </x:row>
    <x:row r="45" ht="64" customHeight="1">
      <x:c r="A45" s="118" t="str">
        <x:v>L05</x:v>
      </x:c>
      <x:c r="B45" s="118" t="str">
        <x:v>Web3 Lab</x:v>
      </x:c>
      <x:c r="C45" s="118" t="str">
        <x:v>测试分发器与领取流程</x:v>
      </x:c>
      <x:c r="D45" s="118" t="str">
        <x:v>LAB</x:v>
      </x:c>
      <x:c r="E45" s="118" t="str">
        <x:v>C</x:v>
      </x:c>
      <x:c r="F45" s="118" t="str">
        <x:v>B</x:v>
      </x:c>
      <x:c r="G45" s="118" t="str">
        <x:v>L03;L04</x:v>
      </x:c>
      <x:c r="H45" s="118" t="str">
        <x:v>合成任务生成一次性领取；只支持chain 84532</x:v>
      </x:c>
      <x:c r="I45" s="118" t="str">
        <x:v>设计建议</x:v>
      </x:c>
      <x:c r="J45" s="118" t="str">
        <x:v>未开始</x:v>
      </x:c>
      <x:c r="K45" s="119" t="str"/>
      <x:c r="L45"/>
    </x:row>
    <x:row r="46" ht="64" customHeight="1">
      <x:c r="A46" s="113" t="str">
        <x:v>L06</x:v>
      </x:c>
      <x:c r="B46" s="113" t="str">
        <x:v>Web3 Lab</x:v>
      </x:c>
      <x:c r="C46" s="113" t="str">
        <x:v>交易pending/成功/失败与gas</x:v>
      </x:c>
      <x:c r="D46" s="113" t="str">
        <x:v>LAB</x:v>
      </x:c>
      <x:c r="E46" s="113" t="str">
        <x:v>B</x:v>
      </x:c>
      <x:c r="F46" s="113" t="str">
        <x:v>C</x:v>
      </x:c>
      <x:c r="G46" s="113" t="str">
        <x:v>L05</x:v>
      </x:c>
      <x:c r="H46" s="113" t="str">
        <x:v>交易失败可重试而不重发；显示tx hash及错链提示</x:v>
      </x:c>
      <x:c r="I46" s="113" t="str">
        <x:v>设计建议</x:v>
      </x:c>
      <x:c r="J46" s="113" t="str">
        <x:v>未开始</x:v>
      </x:c>
      <x:c r="K46" s="120" t="str"/>
      <x:c r="L46"/>
    </x:row>
    <x:row r="47" ht="64" customHeight="1">
      <x:c r="A47" s="118" t="str">
        <x:v>L07</x:v>
      </x:c>
      <x:c r="B47" s="118" t="str">
        <x:v>Web3 Lab</x:v>
      </x:c>
      <x:c r="C47" s="118" t="str">
        <x:v>双钱包及分发安全测试</x:v>
      </x:c>
      <x:c r="D47" s="118" t="str">
        <x:v>LAB</x:v>
      </x:c>
      <x:c r="E47" s="118" t="str">
        <x:v>C</x:v>
      </x:c>
      <x:c r="F47" s="118" t="str">
        <x:v>B</x:v>
      </x:c>
      <x:c r="G47" s="118" t="str">
        <x:v>L06</x:v>
      </x:c>
      <x:c r="H47" s="118" t="str">
        <x:v>两钱包各10次测试；重领0；无私钥/助记词收集</x:v>
      </x:c>
      <x:c r="I47" s="118" t="str">
        <x:v>设计建议</x:v>
      </x:c>
      <x:c r="J47" s="118" t="str">
        <x:v>未开始</x:v>
      </x:c>
      <x:c r="K47" s="119" t="str"/>
      <x:c r="L47"/>
    </x:row>
    <x:row r="48" ht="64" customHeight="1">
      <x:c r="A48" s="113" t="str">
        <x:v>L08</x:v>
      </x:c>
      <x:c r="B48" s="113" t="str">
        <x:v>Web3 Lab</x:v>
      </x:c>
      <x:c r="C48" s="113" t="str">
        <x:v>正式版排除检查与说明</x:v>
      </x:c>
      <x:c r="D48" s="113" t="str">
        <x:v>LAB</x:v>
      </x:c>
      <x:c r="E48" s="113" t="str">
        <x:v>C</x:v>
      </x:c>
      <x:c r="F48" s="113" t="str">
        <x:v>B</x:v>
      </x:c>
      <x:c r="G48" s="113" t="str">
        <x:v>L07;P32</x:v>
      </x:c>
      <x:c r="H48" s="113" t="str">
        <x:v>白皮书/演示清楚分开积分与test token；无将来换币承诺</x:v>
      </x:c>
      <x:c r="I48" s="113" t="str">
        <x:v>设计建议</x:v>
      </x:c>
      <x:c r="J48" s="113" t="str">
        <x:v>未开始</x:v>
      </x:c>
      <x:c r="K48" s="120" t="str"/>
      <x:c r="L48"/>
    </x:row>
    <x:row r="49" ht="64" customHeight="1">
      <x:c r="A49" s="118" t="str">
        <x:v>F01</x:v>
      </x:c>
      <x:c r="B49" s="118" t="str">
        <x:v>延伸</x:v>
      </x:c>
      <x:c r="C49" s="118" t="str">
        <x:v>Android Health Connect正式接入</x:v>
      </x:c>
      <x:c r="D49" s="118" t="str">
        <x:v>P1</x:v>
      </x:c>
      <x:c r="E49" s="118" t="str">
        <x:v>B</x:v>
      </x:c>
      <x:c r="F49" s="118" t="str">
        <x:v>C</x:v>
      </x:c>
      <x:c r="G49" s="118" t="str">
        <x:v>P07</x:v>
      </x:c>
      <x:c r="H49" s="118" t="str">
        <x:v>依权限/来源/去重规则实机测试；按真实设备验收</x:v>
      </x:c>
      <x:c r="I49" s="118" t="str">
        <x:v>S03;S06</x:v>
      </x:c>
      <x:c r="J49" s="118" t="str">
        <x:v>未开始</x:v>
      </x:c>
      <x:c r="K49" s="119" t="str"/>
      <x:c r="L49"/>
    </x:row>
    <x:row r="50" ht="64" customHeight="1">
      <x:c r="A50" s="113" t="str">
        <x:v>F02</x:v>
      </x:c>
      <x:c r="B50" s="113" t="str">
        <x:v>延伸</x:v>
      </x:c>
      <x:c r="C50" s="113" t="str">
        <x:v>已签商户优惠与核销后台</x:v>
      </x:c>
      <x:c r="D50" s="113" t="str">
        <x:v>P1</x:v>
      </x:c>
      <x:c r="E50" s="113" t="str">
        <x:v>B</x:v>
      </x:c>
      <x:c r="F50" s="113" t="str">
        <x:v>C</x:v>
      </x:c>
      <x:c r="G50" s="113" t="str">
        <x:v>P17</x:v>
      </x:c>
      <x:c r="H50" s="113" t="str">
        <x:v>商户合约、名额/退款、券码防重用；资料分享先获放行</x:v>
      </x:c>
      <x:c r="I50" s="113" t="str">
        <x:v>设计建议</x:v>
      </x:c>
      <x:c r="J50" s="113" t="str">
        <x:v>未开始</x:v>
      </x:c>
      <x:c r="K50" s="120" t="str"/>
      <x:c r="L50"/>
    </x:row>
    <x:row r="51" ht="64" customHeight="1">
      <x:c r="A51" s="118" t="str">
        <x:v>F03</x:v>
      </x:c>
      <x:c r="B51" s="118" t="str">
        <x:v>延伸</x:v>
      </x:c>
      <x:c r="C51" s="118" t="str">
        <x:v>企业健康计划管理</x:v>
      </x:c>
      <x:c r="D51" s="118" t="str">
        <x:v>P1</x:v>
      </x:c>
      <x:c r="E51" s="118" t="str">
        <x:v>B</x:v>
      </x:c>
      <x:c r="F51" s="118" t="str">
        <x:v>C</x:v>
      </x:c>
      <x:c r="G51" s="118" t="str">
        <x:v>P30</x:v>
      </x:c>
      <x:c r="H51" s="118" t="str">
        <x:v>先只交付行政参与数据；健康报表需另作平台/法律评估</x:v>
      </x:c>
      <x:c r="I51" s="118" t="str">
        <x:v>设计建议</x:v>
      </x:c>
      <x:c r="J51" s="118" t="str">
        <x:v>未开始</x:v>
      </x:c>
      <x:c r="K51" s="119" t="str"/>
      <x:c r="L51"/>
    </x:row>
    <x:row r="52" ht="64" customHeight="1">
      <x:c r="A52" s="113" t="str">
        <x:v>F04</x:v>
      </x:c>
      <x:c r="B52" s="113" t="str">
        <x:v>延伸</x:v>
      </x:c>
      <x:c r="C52" s="113" t="str">
        <x:v>AdMob非奖励型广告</x:v>
      </x:c>
      <x:c r="D52" s="113" t="str">
        <x:v>P1</x:v>
      </x:c>
      <x:c r="E52" s="113" t="str">
        <x:v>B</x:v>
      </x:c>
      <x:c r="F52" s="113" t="str">
        <x:v>C</x:v>
      </x:c>
      <x:c r="G52" s="113" t="str">
        <x:v>P24</x:v>
      </x:c>
      <x:c r="H52" s="113" t="str">
        <x:v>审查SDK封包与政策；不按健康资料投放；不以看广告派币</x:v>
      </x:c>
      <x:c r="I52" s="113" t="str">
        <x:v>S01;S02;S03</x:v>
      </x:c>
      <x:c r="J52" s="113" t="str">
        <x:v>未开始</x:v>
      </x:c>
      <x:c r="K52" s="120" t="str"/>
      <x:c r="L52"/>
    </x:row>
    <x:row r="53" ht="64" customHeight="1">
      <x:c r="A53" s="118" t="str">
        <x:v>F05</x:v>
      </x:c>
      <x:c r="B53" s="118" t="str">
        <x:v>延伸</x:v>
      </x:c>
      <x:c r="C53" s="118" t="str">
        <x:v>装置认证及较强风险引擎</x:v>
      </x:c>
      <x:c r="D53" s="118" t="str">
        <x:v>P1</x:v>
      </x:c>
      <x:c r="E53" s="118" t="str">
        <x:v>C</x:v>
      </x:c>
      <x:c r="F53" s="118" t="str">
        <x:v>B</x:v>
      </x:c>
      <x:c r="G53" s="118" t="str">
        <x:v>P19</x:v>
      </x:c>
      <x:c r="H53" s="118" t="str">
        <x:v>装置认证只证明请求风险，不宣称能证明真人步行</x:v>
      </x:c>
      <x:c r="I53" s="118" t="str">
        <x:v>设计建议</x:v>
      </x:c>
      <x:c r="J53" s="118" t="str">
        <x:v>未开始</x:v>
      </x:c>
      <x:c r="K53" s="119" t="str"/>
      <x:c r="L53"/>
    </x:row>
    <x:row r="54" ht="64" customHeight="1">
      <x:c r="A54" s="113" t="str">
        <x:v>F06</x:v>
      </x:c>
      <x:c r="B54" s="113" t="str">
        <x:v>延伸</x:v>
      </x:c>
      <x:c r="C54" s="113" t="str">
        <x:v>订阅及支付</x:v>
      </x:c>
      <x:c r="D54" s="113" t="str">
        <x:v>P1</x:v>
      </x:c>
      <x:c r="E54" s="113" t="str">
        <x:v>B</x:v>
      </x:c>
      <x:c r="F54" s="113" t="str">
        <x:v>C</x:v>
      </x:c>
      <x:c r="G54" s="113" t="str">
        <x:v>P32</x:v>
      </x:c>
      <x:c r="H54" s="113" t="str">
        <x:v>按地区/商店数码内容付款规则；不得用token绕过IAP</x:v>
      </x:c>
      <x:c r="I54" s="113" t="str">
        <x:v>S01</x:v>
      </x:c>
      <x:c r="J54" s="113" t="str">
        <x:v>未开始</x:v>
      </x:c>
      <x:c r="K54" s="120" t="str"/>
      <x:c r="L54"/>
    </x:row>
    <x:row r="55" ht="64" customHeight="1">
      <x:c r="A55" s="118" t="str">
        <x:v>F07</x:v>
      </x:c>
      <x:c r="B55" s="118" t="str">
        <x:v>延伸</x:v>
      </x:c>
      <x:c r="C55" s="118" t="str">
        <x:v>社交挑战与公开排行榜</x:v>
      </x:c>
      <x:c r="D55" s="118" t="str">
        <x:v>P1</x:v>
      </x:c>
      <x:c r="E55" s="118" t="str">
        <x:v>B</x:v>
      </x:c>
      <x:c r="F55" s="118" t="str">
        <x:v>C</x:v>
      </x:c>
      <x:c r="G55" s="118" t="str">
        <x:v>P30</x:v>
      </x:c>
      <x:c r="H55" s="118" t="str">
        <x:v>自愿加入；化名；不得默认公开健康资料；提供检举/封锁</x:v>
      </x:c>
      <x:c r="I55" s="118" t="str">
        <x:v>设计建议</x:v>
      </x:c>
      <x:c r="J55" s="118" t="str">
        <x:v>未开始</x:v>
      </x:c>
      <x:c r="K55" s="119" t="str"/>
      <x:c r="L55"/>
    </x:row>
    <x:row r="56" ht="64" customHeight="1">
      <x:c r="A56" s="113" t="str">
        <x:v>F08</x:v>
      </x:c>
      <x:c r="B56" s="113" t="str">
        <x:v>延伸</x:v>
      </x:c>
      <x:c r="C56" s="113" t="str">
        <x:v>睡眠习惯辅导</x:v>
      </x:c>
      <x:c r="D56" s="113" t="str">
        <x:v>P1</x:v>
      </x:c>
      <x:c r="E56" s="113" t="str">
        <x:v>B</x:v>
      </x:c>
      <x:c r="F56" s="113" t="str">
        <x:v>C</x:v>
      </x:c>
      <x:c r="G56" s="113" t="str">
        <x:v>P05</x:v>
      </x:c>
      <x:c r="H56" s="113" t="str">
        <x:v>重规律与休息，不按睡眠越长派越多；非医疗诊断</x:v>
      </x:c>
      <x:c r="I56" s="113" t="str">
        <x:v>设计建议</x:v>
      </x:c>
      <x:c r="J56" s="113" t="str">
        <x:v>未开始</x:v>
      </x:c>
      <x:c r="K56" s="120" t="str"/>
      <x:c r="L56"/>
    </x:row>
    <x:row r="57" ht="64" customHeight="1">
      <x:c r="A57" s="118" t="str">
        <x:v>T01</x:v>
      </x:c>
      <x:c r="B57" s="118" t="str">
        <x:v>条件式主网</x:v>
      </x:c>
      <x:c r="C57" s="118" t="str">
        <x:v>法律分类及地域分发评估</x:v>
      </x:c>
      <x:c r="D57" s="118" t="str">
        <x:v>P2</x:v>
      </x:c>
      <x:c r="E57" s="118" t="str">
        <x:v>C</x:v>
      </x:c>
      <x:c r="F57" s="118" t="str">
        <x:v>B</x:v>
      </x:c>
      <x:c r="G57" s="118" t="str">
        <x:v>商业验证</x:v>
      </x:c>
      <x:c r="H57" s="118" t="str">
        <x:v>专业法律意见完成；司法区/发售/牌照边界清晰</x:v>
      </x:c>
      <x:c r="I57" s="118" t="str">
        <x:v>S10;S11</x:v>
      </x:c>
      <x:c r="J57" s="118" t="str">
        <x:v>未开始</x:v>
      </x:c>
      <x:c r="K57" s="119" t="str"/>
      <x:c r="L57"/>
    </x:row>
    <x:row r="58" ht="64" customHeight="1">
      <x:c r="A58" s="113" t="str">
        <x:v>T02</x:v>
      </x:c>
      <x:c r="B58" s="113" t="str">
        <x:v>条件式主网</x:v>
      </x:c>
      <x:c r="C58" s="113" t="str">
        <x:v>经济模型、压力测试及白皮书</x:v>
      </x:c>
      <x:c r="D58" s="113" t="str">
        <x:v>P2</x:v>
      </x:c>
      <x:c r="E58" s="113" t="str">
        <x:v>C</x:v>
      </x:c>
      <x:c r="F58" s="113" t="str">
        <x:v>B</x:v>
      </x:c>
      <x:c r="G58" s="113" t="str">
        <x:v>T01</x:v>
      </x:c>
      <x:c r="H58" s="113" t="str">
        <x:v>供应/流通/释放/现金分开；无保价或收益承诺</x:v>
      </x:c>
      <x:c r="I58" s="113" t="str">
        <x:v>设计建议</x:v>
      </x:c>
      <x:c r="J58" s="113" t="str">
        <x:v>未开始</x:v>
      </x:c>
      <x:c r="K58" s="120" t="str"/>
      <x:c r="L58"/>
    </x:row>
    <x:row r="59" ht="64" customHeight="1">
      <x:c r="A59" s="118" t="str">
        <x:v>T03</x:v>
      </x:c>
      <x:c r="B59" s="118" t="str">
        <x:v>条件式主网</x:v>
      </x:c>
      <x:c r="C59" s="118" t="str">
        <x:v>合约外部审计、multi-sig及vesting</x:v>
      </x:c>
      <x:c r="D59" s="118" t="str">
        <x:v>P2</x:v>
      </x:c>
      <x:c r="E59" s="118" t="str">
        <x:v>C</x:v>
      </x:c>
      <x:c r="F59" s="118" t="str">
        <x:v>B</x:v>
      </x:c>
      <x:c r="G59" s="118" t="str">
        <x:v>T02</x:v>
      </x:c>
      <x:c r="H59" s="118" t="str">
        <x:v>未解critical/high=0；权限演练；合约验证；不是AI自审</x:v>
      </x:c>
      <x:c r="I59" s="118" t="str">
        <x:v>S16</x:v>
      </x:c>
      <x:c r="J59" s="118" t="str">
        <x:v>未开始</x:v>
      </x:c>
      <x:c r="K59" s="119" t="str"/>
      <x:c r="L59"/>
    </x:row>
    <x:row r="60" ht="64" customHeight="1">
      <x:c r="A60" s="113" t="str">
        <x:v>T04</x:v>
      </x:c>
      <x:c r="B60" s="113" t="str">
        <x:v>条件式主网</x:v>
      </x:c>
      <x:c r="C60" s="113" t="str">
        <x:v>主网claim与金流营运</x:v>
      </x:c>
      <x:c r="D60" s="113" t="str">
        <x:v>P2</x:v>
      </x:c>
      <x:c r="E60" s="113" t="str">
        <x:v>C</x:v>
      </x:c>
      <x:c r="F60" s="113" t="str">
        <x:v>B</x:v>
      </x:c>
      <x:c r="G60" s="113" t="str">
        <x:v>T01;T03</x:v>
      </x:c>
      <x:c r="H60" s="113" t="str">
        <x:v>主网功能须重新审查；客服、税务、对帐与gas有预算</x:v>
      </x:c>
      <x:c r="I60" s="113" t="str">
        <x:v>设计建议</x:v>
      </x:c>
      <x:c r="J60" s="113" t="str">
        <x:v>未开始</x:v>
      </x:c>
      <x:c r="K60" s="120" t="str"/>
      <x:c r="L60"/>
    </x:row>
    <x:row r="61" ht="64" customHeight="1">
      <x:c r="A61" s="118" t="str">
        <x:v>T05</x:v>
      </x:c>
      <x:c r="B61" s="118" t="str">
        <x:v>条件式主网</x:v>
      </x:c>
      <x:c r="C61" s="118" t="str">
        <x:v>合法市场接入与流动性</x:v>
      </x:c>
      <x:c r="D61" s="118" t="str">
        <x:v>P2</x:v>
      </x:c>
      <x:c r="E61" s="118" t="str">
        <x:v>C</x:v>
      </x:c>
      <x:c r="F61" s="118" t="str">
        <x:v>B</x:v>
      </x:c>
      <x:c r="G61" s="118" t="str">
        <x:v>T04</x:v>
      </x:c>
      <x:c r="H61" s="118" t="str">
        <x:v>交易平台自主审批；另筹报价资产；无刷量/保价</x:v>
      </x:c>
      <x:c r="I61" s="118" t="str">
        <x:v>设计建议</x:v>
      </x:c>
      <x:c r="J61" s="118" t="str">
        <x:v>未开始</x:v>
      </x:c>
      <x:c r="K61" s="119" t="str"/>
      <x:c r="L61"/>
    </x:row>
    <x:row r="62" ht="64" customHeight="1">
      <x:c r="A62" s="113" t="str">
        <x:v>T06</x:v>
      </x:c>
      <x:c r="B62" s="113" t="str">
        <x:v>条件式主网</x:v>
      </x:c>
      <x:c r="C62" s="113" t="str">
        <x:v>透明度报告及持续监控</x:v>
      </x:c>
      <x:c r="D62" s="113" t="str">
        <x:v>P2</x:v>
      </x:c>
      <x:c r="E62" s="113" t="str">
        <x:v>C</x:v>
      </x:c>
      <x:c r="F62" s="113" t="str">
        <x:v>B</x:v>
      </x:c>
      <x:c r="G62" s="113" t="str">
        <x:v>T04</x:v>
      </x:c>
      <x:c r="H62" s="113" t="str">
        <x:v>月报含流通、解锁、支出、合约事件；风险触发停发</x:v>
      </x:c>
      <x:c r="I62" s="113" t="str">
        <x:v>设计建议</x:v>
      </x:c>
      <x:c r="J62" s="113" t="str">
        <x:v>未开始</x:v>
      </x:c>
      <x:c r="K62" s="120" t="str"/>
      <x:c r="L62"/>
    </x:row>
  </x:sheetData>
  <x:mergeCells>
    <x:mergeCell ref="A1:K1"/>
    <x:mergeCell ref="A2:K2"/>
  </x:mergeCells>
  <x:conditionalFormatting sqref="D5:D62">
    <x:cfRule type="expression" dxfId="0" priority="1">
      <x:formula>D5="P0"</x:formula>
    </x:cfRule>
  </x:conditionalFormatting>
  <x:conditionalFormatting sqref="L5:L62">
    <x:cfRule type="expression" dxfId="1" priority="2">
      <x:formula>L5="受阻"</x:formula>
    </x:cfRule>
    <x:cfRule type="expression" dxfId="2" priority="3">
      <x:formula>L5="完成"</x:formula>
    </x:cfRule>
  </x:conditionalFormatting>
  <x:dataValidations count="6">
    <x:dataValidation type="list" sqref="D5:D62">
      <x:formula1>"P0,LAB,P1,P2"</x:formula1>
    </x:dataValidation>
    <x:dataValidation type="list" sqref="L5:L62">
      <x:formula1>"未开始,进行中,待验收,完成,受阻"</x:formula1>
    </x:dataValidation>
    <x:dataValidation type="list" sqref="E5:E62">
      <x:formula1>"B,C"</x:formula1>
    </x:dataValidation>
    <x:dataValidation type="list" sqref="F5:F62">
      <x:formula1>"B,C"</x:formula1>
    </x:dataValidation>
    <x:dataValidation type="list" sqref="E5:F62">
      <x:formula1>"B,C"</x:formula1>
    </x:dataValidation>
    <x:dataValidation type="list" sqref="J5:J62">
      <x:formula1>"未开始,进行中,受阻,待复核,已验收"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a35ada4a6145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7" hidden="0" customWidth="1"/>
    <x:col min="3" max="3" width="42" hidden="0" customWidth="1"/>
    <x:col min="4" max="4" width="12" hidden="0" customWidth="1"/>
    <x:col min="5" max="5" width="58" hidden="0" customWidth="1"/>
    <x:col min="6" max="6" width="14" hidden="0" customWidth="1"/>
    <x:col min="7" max="7" width="10" hidden="0" customWidth="1"/>
    <x:col min="8" max="8" width="40" hidden="0" customWidth="1"/>
  </x:cols>
  <x:sheetData>
    <x:row r="1" ht="36" customHeight="1">
      <x:c r="A1" s="115" t="str">
        <x:v>研究、整合与交付工作包</x:v>
      </x:c>
      <x:c r="B1" s="115"/>
      <x:c r="C1" s="115"/>
      <x:c r="D1" s="115"/>
      <x:c r="E1" s="115"/>
      <x:c r="F1" s="115"/>
      <x:c r="G1"/>
      <x:c r="H1"/>
    </x:row>
    <x:row r="2" ht="42" customHeight="1">
      <x:c r="A2" s="116" t="str">
        <x:v>与技术需求分开管理的支持工作；不设开始周、结束周或工时。具体交付完成后附证据。</x:v>
      </x:c>
      <x:c r="B2" s="116"/>
      <x:c r="C2" s="116"/>
      <x:c r="D2" s="116"/>
      <x:c r="E2" s="116"/>
      <x:c r="F2" s="116"/>
      <x:c r="G2"/>
      <x:c r="H2"/>
    </x:row>
    <x:row r="3" ht="9" customHeight="1">
      <x:c r="A3" s="113"/>
      <x:c r="B3" s="113"/>
      <x:c r="C3" s="113"/>
      <x:c r="D3" s="113"/>
      <x:c r="E3" s="113"/>
      <x:c r="F3" s="113"/>
      <x:c r="G3"/>
      <x:c r="H3"/>
    </x:row>
    <x:row r="4" ht="28" customHeight="1">
      <x:c r="A4" s="117" t="str">
        <x:v>ID</x:v>
      </x:c>
      <x:c r="B4" s="117" t="str">
        <x:v>领域</x:v>
      </x:c>
      <x:c r="C4" s="117" t="str">
        <x:v>工作包</x:v>
      </x:c>
      <x:c r="D4" s="117" t="str">
        <x:v>协调人</x:v>
      </x:c>
      <x:c r="E4" s="117" t="str">
        <x:v>交付证据</x:v>
      </x:c>
      <x:c r="F4" s="117" t="str">
        <x:v>状态</x:v>
      </x:c>
      <x:c r="G4"/>
      <x:c r="H4"/>
    </x:row>
    <x:row r="5" ht="58" customHeight="1">
      <x:c r="A5" s="118" t="str">
        <x:v>O01</x:v>
      </x:c>
      <x:c r="B5" s="118" t="str">
        <x:v>产品/商业</x:v>
      </x:c>
      <x:c r="C5" s="118" t="str">
        <x:v>20次用户访谈与10次买家访谈</x:v>
      </x:c>
      <x:c r="D5" s="118" t="str">
        <x:v>A</x:v>
      </x:c>
      <x:c r="E5" s="118" t="str">
        <x:v>访谈纪录分开引述及研究者判断</x:v>
      </x:c>
      <x:c r="F5" s="118" t="str">
        <x:v>未开始</x:v>
      </x:c>
      <x:c r="G5"/>
      <x:c r="H5"/>
    </x:row>
    <x:row r="6" ht="58" customHeight="1">
      <x:c r="A6" s="113" t="str">
        <x:v>O02</x:v>
      </x:c>
      <x:c r="B6" s="113" t="str">
        <x:v>产品/商业</x:v>
      </x:c>
      <x:c r="C6" s="113" t="str">
        <x:v>赞助方案、商户洽谈及两份意向书目标</x:v>
      </x:c>
      <x:c r="D6" s="113" t="str">
        <x:v>A</x:v>
      </x:c>
      <x:c r="E6" s="113" t="str">
        <x:v>未签不可放Logo或称合作</x:v>
      </x:c>
      <x:c r="F6" s="113" t="str">
        <x:v>未开始</x:v>
      </x:c>
      <x:c r="G6"/>
      <x:c r="H6"/>
    </x:row>
    <x:row r="7" ht="58" customHeight="1">
      <x:c r="A7" s="118" t="str">
        <x:v>O03</x:v>
      </x:c>
      <x:c r="B7" s="118" t="str">
        <x:v>产品/商业</x:v>
      </x:c>
      <x:c r="C7" s="118" t="str">
        <x:v>商业计划、财务及发币条件文件</x:v>
      </x:c>
      <x:c r="D7" s="118" t="str">
        <x:v>A</x:v>
      </x:c>
      <x:c r="E7" s="118" t="str">
        <x:v>全部数字标注假设；来源可追溯</x:v>
      </x:c>
      <x:c r="F7" s="118" t="str">
        <x:v>未开始</x:v>
      </x:c>
      <x:c r="G7"/>
      <x:c r="H7"/>
    </x:row>
    <x:row r="8" ht="58" customHeight="1">
      <x:c r="A8" s="113" t="str">
        <x:v>O04</x:v>
      </x:c>
      <x:c r="B8" s="113" t="str">
        <x:v>产品/商业</x:v>
      </x:c>
      <x:c r="C8" s="113" t="str">
        <x:v>范围与变更管理、法律初谈及项目陈述</x:v>
      </x:c>
      <x:c r="D8" s="113" t="str">
        <x:v>A</x:v>
      </x:c>
      <x:c r="E8" s="113" t="str">
        <x:v>变更复核记录、验收证据与风险清单</x:v>
      </x:c>
      <x:c r="F8" s="113" t="str">
        <x:v>未开始</x:v>
      </x:c>
      <x:c r="G8"/>
      <x:c r="H8"/>
    </x:row>
    <x:row r="9" ht="58" customHeight="1">
      <x:c r="A9" s="118" t="str">
        <x:v>O05</x:v>
      </x:c>
      <x:c r="B9" s="118" t="str">
        <x:v>工程</x:v>
      </x:c>
      <x:c r="C9" s="118" t="str">
        <x:v>实机兼容性、模块整合及缺陷修复</x:v>
      </x:c>
      <x:c r="D9" s="118" t="str">
        <x:v>B</x:v>
      </x:c>
      <x:c r="E9" s="118" t="str">
        <x:v>修复真实装置与签署问题</x:v>
      </x:c>
      <x:c r="F9" s="118" t="str">
        <x:v>未开始</x:v>
      </x:c>
      <x:c r="G9"/>
      <x:c r="H9"/>
    </x:row>
    <x:row r="10" ht="58" customHeight="1">
      <x:c r="A10" s="113" t="str">
        <x:v>O06</x:v>
      </x:c>
      <x:c r="B10" s="113" t="str">
        <x:v>工程</x:v>
      </x:c>
      <x:c r="C10" s="113" t="str">
        <x:v>代码复核、API整合与资料修复</x:v>
      </x:c>
      <x:c r="D10" s="113" t="str">
        <x:v>C</x:v>
      </x:c>
      <x:c r="E10" s="113" t="str">
        <x:v>安全敏感改动由第二人复核</x:v>
      </x:c>
      <x:c r="F10" s="113" t="str">
        <x:v>未开始</x:v>
      </x:c>
      <x:c r="G10"/>
      <x:c r="H10"/>
    </x:row>
    <x:row r="11" ht="58" customHeight="1">
      <x:c r="A11" s="118" t="str">
        <x:v>O07</x:v>
      </x:c>
      <x:c r="B11" s="118" t="str">
        <x:v>设计/研究</x:v>
      </x:c>
      <x:c r="C11" s="118" t="str">
        <x:v>首批测试者招募、可用性访谈与支援</x:v>
      </x:c>
      <x:c r="D11" s="118" t="str">
        <x:v>D</x:v>
      </x:c>
      <x:c r="E11" s="118" t="str">
        <x:v>测试者不以TestFlight安装换报酬</x:v>
      </x:c>
      <x:c r="F11" s="118" t="str">
        <x:v>未开始</x:v>
      </x:c>
      <x:c r="G11"/>
      <x:c r="H11"/>
    </x:row>
    <x:row r="12" ht="58" customHeight="1">
      <x:c r="A12" s="113" t="str">
        <x:v>O08</x:v>
      </x:c>
      <x:c r="B12" s="113" t="str">
        <x:v>设计/研究</x:v>
      </x:c>
      <x:c r="C12" s="113" t="str">
        <x:v>展示录影、设计素材交接及用户测试报告</x:v>
      </x:c>
      <x:c r="D12" s="113" t="str">
        <x:v>D</x:v>
      </x:c>
      <x:c r="E12" s="113" t="str">
        <x:v>有真实装置/测试网录影；合成资料明确标示</x:v>
      </x:c>
      <x:c r="F12" s="113" t="str">
        <x:v>未开始</x:v>
      </x:c>
      <x:c r="G12"/>
      <x:c r="H12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30" hidden="0" customWidth="1"/>
    <x:col min="4" max="4" width="12" hidden="0" customWidth="1"/>
    <x:col min="5" max="5" width="47" hidden="0" customWidth="1"/>
    <x:col min="6" max="6" width="37" hidden="0" customWidth="1"/>
    <x:col min="7" max="7" width="37" hidden="0" customWidth="1"/>
    <x:col min="8" max="8" width="13" hidden="0" customWidth="1"/>
    <x:col min="9" max="9" width="40" hidden="0" customWidth="1"/>
    <x:col min="10" max="10" width="10" hidden="0" customWidth="1"/>
  </x:cols>
  <x:sheetData>
    <x:row r="1" ht="36" customHeight="1">
      <x:c r="A1" s="115" t="str">
        <x:v>四人协作｜两名需求负责人</x:v>
      </x:c>
      <x:c r="B1" s="115"/>
      <x:c r="C1" s="115"/>
      <x:c r="D1" s="115"/>
      <x:c r="E1" s="115"/>
      <x:c r="F1" s="115"/>
      <x:c r="G1" s="115"/>
      <x:c r="H1" s="115"/>
      <x:c r="I1"/>
      <x:c r="J1"/>
    </x:row>
    <x:row r="2" ht="42" customHeight="1">
      <x:c r="A2" s="116" t="str">
        <x:v>B／C负责全部58项需求并交叉复核；Codex辅助实现，不代替人员批准、外部法律意见或独立安全审计。</x:v>
      </x:c>
      <x:c r="B2" s="116"/>
      <x:c r="C2" s="116"/>
      <x:c r="D2" s="116"/>
      <x:c r="E2" s="116"/>
      <x:c r="F2" s="116"/>
      <x:c r="G2" s="116"/>
      <x:c r="H2" s="116"/>
      <x:c r="I2"/>
      <x:c r="J2"/>
    </x:row>
    <x:row r="3" ht="9" customHeight="1">
      <x:c r="A3" s="113"/>
      <x:c r="B3" s="113"/>
      <x:c r="C3" s="113"/>
      <x:c r="D3" s="113"/>
      <x:c r="E3" s="113"/>
      <x:c r="F3" s="113"/>
      <x:c r="G3" s="113"/>
      <x:c r="H3" s="113"/>
      <x:c r="I3"/>
      <x:c r="J3"/>
    </x:row>
    <x:row r="4" ht="28" customHeight="1">
      <x:c r="A4" s="117" t="str">
        <x:v>代号</x:v>
      </x:c>
      <x:c r="B4" s="117" t="str">
        <x:v>姓名</x:v>
      </x:c>
      <x:c r="C4" s="117" t="str">
        <x:v>职能</x:v>
      </x:c>
      <x:c r="D4" s="117" t="str">
        <x:v>需求数量</x:v>
      </x:c>
      <x:c r="E4" s="117" t="str">
        <x:v>责任边界</x:v>
      </x:c>
      <x:c r="F4" s="117" t="str">
        <x:v>复核与支持</x:v>
      </x:c>
      <x:c r="G4" s="117" t="str">
        <x:v>交付证据</x:v>
      </x:c>
      <x:c r="H4" s="117" t="str">
        <x:v>确认状态</x:v>
      </x:c>
      <x:c r="I4"/>
      <x:c r="J4"/>
    </x:row>
    <x:row r="5" ht="90" customHeight="1">
      <x:c r="A5" s="118" t="str">
        <x:v>A</x:v>
      </x:c>
      <x:c r="B5" s="119" t="str">
        <x:v>待填姓名</x:v>
      </x:c>
      <x:c r="C5" s="118" t="str">
        <x:v>产品／商业与合规协调</x:v>
      </x:c>
      <x:c r="D5" s="121" t="n">
        <x:f>COUNTIF('需求清单'!$E$5:$E$62,A5)</x:f>
        <x:v>0</x:v>
      </x:c>
      <x:c r="E5" s="118" t="str">
        <x:v>范围、用户与买家研究、合作、预算及专业意见协调；不担任需求清单负责人。</x:v>
      </x:c>
      <x:c r="F5" s="118" t="str">
        <x:v>B／C评估技术；D支持研究。</x:v>
      </x:c>
      <x:c r="G5" s="118" t="str">
        <x:v>商业输入、访谈记录、报价与风险资料。</x:v>
      </x:c>
      <x:c r="H5" s="118" t="str">
        <x:v>待确认</x:v>
      </x:c>
      <x:c r="I5"/>
      <x:c r="J5"/>
    </x:row>
    <x:row r="6" ht="90" customHeight="1">
      <x:c r="A6" s="113" t="str">
        <x:v>B</x:v>
      </x:c>
      <x:c r="B6" s="120" t="str">
        <x:v>待填姓名</x:v>
      </x:c>
      <x:c r="C6" s="113" t="str">
        <x:v>需求负责人1：手机与产品实现</x:v>
      </x:c>
      <x:c r="D6" s="122" t="n">
        <x:f>COUNTIF('需求清单'!$E$5:$E$62,A6)</x:f>
        <x:v>28</x:v>
      </x:c>
      <x:c r="E6" s="113" t="str">
        <x:v>手机、健康读取、前端、原型、实机交付及钱包连接。</x:v>
      </x:c>
      <x:c r="F6" s="113" t="str">
        <x:v>C逐项技术复核；D提供测试证据。</x:v>
      </x:c>
      <x:c r="G6" s="113" t="str">
        <x:v>App、原生接入、前端测试与需求证据。</x:v>
      </x:c>
      <x:c r="H6" s="113" t="str">
        <x:v>待确认</x:v>
      </x:c>
      <x:c r="I6"/>
      <x:c r="J6"/>
    </x:row>
    <x:row r="7" ht="90" customHeight="1">
      <x:c r="A7" s="118" t="str">
        <x:v>C</x:v>
      </x:c>
      <x:c r="B7" s="119" t="str">
        <x:v>待填姓名</x:v>
      </x:c>
      <x:c r="C7" s="118" t="str">
        <x:v>需求负责人2：后端与安全实现</x:v>
      </x:c>
      <x:c r="D7" s="121" t="n">
        <x:f>COUNTIF('需求清单'!$E$5:$E$62,A7)</x:f>
        <x:v>30</x:v>
      </x:c>
      <x:c r="E7" s="118" t="str">
        <x:v>后端、任务与账本、权限、安全、管理台、测试合约及外部前置条件跟进。</x:v>
      </x:c>
      <x:c r="F7" s="118" t="str">
        <x:v>B逐项技术复核；独立主网审计另聘。</x:v>
      </x:c>
      <x:c r="G7" s="118" t="str">
        <x:v>迁移与API、测试报告、审计记录及部署说明。</x:v>
      </x:c>
      <x:c r="H7" s="118" t="str">
        <x:v>待确认</x:v>
      </x:c>
      <x:c r="I7"/>
      <x:c r="J7"/>
    </x:row>
    <x:row r="8" ht="90" customHeight="1">
      <x:c r="A8" s="113" t="str">
        <x:v>D</x:v>
      </x:c>
      <x:c r="B8" s="120" t="str">
        <x:v>待填姓名</x:v>
      </x:c>
      <x:c r="C8" s="113" t="str">
        <x:v>设计／研究／测试支持</x:v>
      </x:c>
      <x:c r="D8" s="122" t="n">
        <x:f>COUNTIF('需求清单'!$E$5:$E$62,A8)</x:f>
        <x:v>0</x:v>
      </x:c>
      <x:c r="E8" s="113" t="str">
        <x:v>用户研究、视觉素材、招募、黑箱测试与反馈；不担任需求主责或技术复核。</x:v>
      </x:c>
      <x:c r="F8" s="113" t="str">
        <x:v>向B／C提供测试与设计输入。</x:v>
      </x:c>
      <x:c r="G8" s="113" t="str">
        <x:v>可用性记录、缺陷单、设计资产与展示资料。</x:v>
      </x:c>
      <x:c r="H8" s="113" t="str">
        <x:v>待确认</x:v>
      </x:c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 ht="26" customHeight="1">
      <x:c r="A10" s="123" t="str">
        <x:v>需求总数</x:v>
      </x:c>
      <x:c r="B10" s="123"/>
      <x:c r="C10" s="123"/>
      <x:c r="D10" s="123" t="n">
        <x:f>SUM(D5:D8)</x:f>
        <x:v>58</x:v>
      </x:c>
      <x:c r="E10" s="123"/>
      <x:c r="F10" s="123"/>
      <x:c r="G10" s="123"/>
      <x:c r="H10" s="123"/>
      <x:c r="I10"/>
      <x:c r="J10"/>
    </x:row>
    <x:row r="12" ht="46" customHeight="1">
      <x:c r="A12" s="124" t="str">
        <x:v>团队代号并不自动授予生产系统管理员权限。工时及成本按实际范围、记录及报价另行确认，不以日历推算验收。</x:v>
      </x:c>
      <x:c r="B12" s="124"/>
      <x:c r="C12" s="124"/>
      <x:c r="D12" s="124"/>
      <x:c r="E12" s="124"/>
      <x:c r="F12" s="124"/>
      <x:c r="G12" s="124"/>
      <x:c r="H12" s="124"/>
      <x:c r="I12"/>
      <x:c r="J12"/>
    </x:row>
    <x:row r="13" ht="32" customHeight="1">
      <x:c r="A13"/>
      <x:c r="B13"/>
      <x:c r="C13"/>
      <x:c r="D13"/>
      <x:c r="E13"/>
      <x:c r="F13"/>
      <x:c r="G13"/>
      <x:c r="H13"/>
    </x:row>
    <x:row r="14" ht="26" customHeight="1">
      <x:c r="A14"/>
      <x:c r="B14"/>
      <x:c r="C14"/>
      <x:c r="D14"/>
      <x:c r="E14"/>
      <x:c r="F14"/>
      <x:c r="G14"/>
      <x:c r="H14"/>
    </x:row>
    <x:row r="15" ht="26" customHeight="1">
      <x:c r="A15"/>
      <x:c r="B15"/>
      <x:c r="C15"/>
      <x:c r="D15"/>
      <x:c r="E15"/>
      <x:c r="F15"/>
      <x:c r="G15"/>
      <x:c r="H15"/>
    </x:row>
    <x:row r="17" ht="38" customHeight="1">
      <x:c r="A17"/>
      <x:c r="B17"/>
      <x:c r="C17"/>
      <x:c r="D17"/>
      <x:c r="E17"/>
      <x:c r="F17"/>
      <x:c r="G17"/>
      <x:c r="H17"/>
      <x:c r="I17"/>
      <x:c r="J17"/>
    </x:row>
    <x:row r="18" ht="38" customHeight="1">
      <x:c r="A18"/>
      <x:c r="B18"/>
      <x:c r="C18"/>
      <x:c r="D18"/>
      <x:c r="E18"/>
      <x:c r="F18"/>
      <x:c r="G18"/>
      <x:c r="H18"/>
      <x:c r="I18"/>
      <x:c r="J18"/>
    </x:row>
  </x:sheetData>
  <x:mergeCells>
    <x:mergeCell ref="A1:H1"/>
    <x:mergeCell ref="A2:H2"/>
    <x:mergeCell ref="A10:C10"/>
    <x:mergeCell ref="A12:H12"/>
  </x:mergeCells>
  <x:conditionalFormatting sqref="H5:H8">
    <x:cfRule type="cellIs" dxfId="3" priority="1" operator="lessThan">
      <x:formula>0</x:formula>
    </x:cfRule>
  </x:conditionalFormatting>
  <x:conditionalFormatting sqref="H14:H15">
    <x:cfRule type="cellIs" dxfId="4" priority="2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9" hidden="0" customWidth="1"/>
    <x:col min="4" max="4" width="9" hidden="0" customWidth="1"/>
    <x:col min="5" max="5" width="8" hidden="0" customWidth="1"/>
    <x:col min="6" max="6" width="40" hidden="0" customWidth="1"/>
    <x:col min="7" max="7" width="40" hidden="0" customWidth="1"/>
    <x:col min="8" max="8" width="18" hidden="0" customWidth="1"/>
  </x:cols>
  <x:sheetData>
    <x:row r="1" ht="36" customHeight="1">
      <x:c r="A1" s="3" t="str">
        <x:v>风险登记册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风险状态未经团队验证；门槛为建议管理规则，不是行业统计。</x:v>
      </x:c>
      <x:c r="B2" s="7"/>
      <x:c r="C2" s="7"/>
      <x:c r="D2" s="7"/>
      <x:c r="E2" s="7"/>
      <x:c r="F2" s="7"/>
      <x:c r="G2" s="7"/>
      <x:c r="H2" s="7"/>
    </x:row>
    <x:row r="3">
      <x:c r="A3"/>
      <x:c r="B3"/>
      <x:c r="C3"/>
      <x:c r="D3"/>
      <x:c r="E3"/>
      <x:c r="F3"/>
      <x:c r="G3"/>
      <x:c r="H3"/>
    </x:row>
    <x:row r="4" ht="28" customHeight="1">
      <x:c r="A4" s="17" t="str">
        <x:v>ID</x:v>
      </x:c>
      <x:c r="B4" s="17" t="str">
        <x:v>风险</x:v>
      </x:c>
      <x:c r="C4" s="17" t="str">
        <x:v>机率</x:v>
      </x:c>
      <x:c r="D4" s="17" t="str">
        <x:v>影响</x:v>
      </x:c>
      <x:c r="E4" s="17" t="str">
        <x:v>主责</x:v>
      </x:c>
      <x:c r="F4" s="17" t="str">
        <x:v>减低措施</x:v>
      </x:c>
      <x:c r="G4" s="17" t="str">
        <x:v>停止／改向条件</x:v>
      </x:c>
      <x:c r="H4" s="17" t="str">
        <x:v>依据</x:v>
      </x:c>
    </x:row>
    <x:row r="5" ht="75" customHeight="1">
      <x:c r="A5" s="20" t="str">
        <x:v>R01</x:v>
      </x:c>
      <x:c r="B5" s="20" t="str">
        <x:v>App Store任务换币</x:v>
      </x:c>
      <x:c r="C5" s="20" t="str">
        <x:v>高</x:v>
      </x:c>
      <x:c r="D5" s="20" t="str">
        <x:v>高</x:v>
      </x:c>
      <x:c r="E5" s="20" t="str">
        <x:v>A</x:v>
      </x:c>
      <x:c r="F5" s="20" t="str">
        <x:v>正式版保持不可转让积分；testnet独立；主网分发需重新评估</x:v>
      </x:c>
      <x:c r="G5" s="20" t="str">
        <x:v>出现兑币承诺或审查反对即停止主网范围</x:v>
      </x:c>
      <x:c r="H5" s="20" t="str">
        <x:v>S01</x:v>
      </x:c>
    </x:row>
    <x:row r="6" ht="75" customHeight="1">
      <x:c r="A6" s="12" t="str">
        <x:v>R02</x:v>
      </x:c>
      <x:c r="B6" s="12" t="str">
        <x:v>健康数据用于广告</x:v>
      </x:c>
      <x:c r="C6" s="12" t="str">
        <x:v>高</x:v>
      </x:c>
      <x:c r="D6" s="12" t="str">
        <x:v>高</x:v>
      </x:c>
      <x:c r="E6" s="12" t="str">
        <x:v>C</x:v>
      </x:c>
      <x:c r="F6" s="12" t="str">
        <x:v>健康/广告资料隔离；不传推论标签；第一方安全白名单</x:v>
      </x:c>
      <x:c r="G6" s="12" t="str">
        <x:v>封包出现健康值或可推论身份即停SDK</x:v>
      </x:c>
      <x:c r="H6" s="12" t="str">
        <x:v>S01;S03;S12</x:v>
      </x:c>
    </x:row>
    <x:row r="7" ht="75" customHeight="1">
      <x:c r="A7" s="20" t="str">
        <x:v>R03</x:v>
      </x:c>
      <x:c r="B7" s="20" t="str">
        <x:v>作弊/羊毛党</x:v>
      </x:c>
      <x:c r="C7" s="20" t="str">
        <x:v>高</x:v>
      </x:c>
      <x:c r="D7" s="20" t="str">
        <x:v>高</x:v>
      </x:c>
      <x:c r="E7" s="20" t="str">
        <x:v>C</x:v>
      </x:c>
      <x:c r="F7" s="20" t="str">
        <x:v>来源、去重、限额、pending、人工申诉</x:v>
      </x:c>
      <x:c r="G7" s="20" t="str">
        <x:v>疑似不实奖励&gt;5%即冻结受影响规则并抽查</x:v>
      </x:c>
      <x:c r="H7" s="20" t="str">
        <x:v>设计门槛</x:v>
      </x:c>
    </x:row>
    <x:row r="8" ht="75" customHeight="1">
      <x:c r="A8" s="12" t="str">
        <x:v>R04</x:v>
      </x:c>
      <x:c r="B8" s="12" t="str">
        <x:v>没有买家愿付费</x:v>
      </x:c>
      <x:c r="C8" s="12" t="str">
        <x:v>中</x:v>
      </x:c>
      <x:c r="D8" s="12" t="str">
        <x:v>高</x:v>
      </x:c>
      <x:c r="E8" s="12" t="str">
        <x:v>A</x:v>
      </x:c>
      <x:c r="F8" s="12" t="str">
        <x:v>实际买家访谈及报价测试；用明确付费证据判断需求</x:v>
      </x:c>
      <x:c r="G8" s="12" t="str">
        <x:v>验证后仍无买家愿付费，调整客群／服务，不以发币填补</x:v>
      </x:c>
      <x:c r="H8" s="12" t="str">
        <x:v>设计门槛</x:v>
      </x:c>
    </x:row>
    <x:row r="9" ht="75" customHeight="1">
      <x:c r="A9" s="20" t="str">
        <x:v>R05</x:v>
      </x:c>
      <x:c r="B9" s="20" t="str">
        <x:v>健康/身体伤害</x:v>
      </x:c>
      <x:c r="C9" s="20" t="str">
        <x:v>中</x:v>
      </x:c>
      <x:c r="D9" s="20" t="str">
        <x:v>高</x:v>
      </x:c>
      <x:c r="E9" s="20" t="str">
        <x:v>A</x:v>
      </x:c>
      <x:c r="F9" s="20" t="str">
        <x:v>低门槛可选、休息模式、不奖励心率/减磅/极端睡眠</x:v>
      </x:c>
      <x:c r="G9" s="20" t="str">
        <x:v>安全投诉时停相关任务并人工处理</x:v>
      </x:c>
      <x:c r="H9" s="20" t="str">
        <x:v>S01;S03</x:v>
      </x:c>
    </x:row>
    <x:row r="10" ht="75" customHeight="1">
      <x:c r="A10" s="12" t="str">
        <x:v>R06</x:v>
      </x:c>
      <x:c r="B10" s="12" t="str">
        <x:v>密钥/合约漏洞</x:v>
      </x:c>
      <x:c r="C10" s="12" t="str">
        <x:v>中</x:v>
      </x:c>
      <x:c r="D10" s="12" t="str">
        <x:v>高</x:v>
      </x:c>
      <x:c r="E10" s="12" t="str">
        <x:v>C</x:v>
      </x:c>
      <x:c r="F10" s="12" t="str">
        <x:v>不托管私钥；multisig/限额；正式合约外部审计</x:v>
      </x:c>
      <x:c r="G10" s="12" t="str">
        <x:v>critical/high未解=不部署主网</x:v>
      </x:c>
      <x:c r="H10" s="12" t="str">
        <x:v>S16;S17</x:v>
      </x:c>
    </x:row>
    <x:row r="11" ht="75" customHeight="1">
      <x:c r="A11" s="20" t="str">
        <x:v>R07</x:v>
      </x:c>
      <x:c r="B11" s="20" t="str">
        <x:v>广告收入不足</x:v>
      </x:c>
      <x:c r="C11" s="20" t="str">
        <x:v>高</x:v>
      </x:c>
      <x:c r="D11" s="20" t="str">
        <x:v>中</x:v>
      </x:c>
      <x:c r="E11" s="20" t="str">
        <x:v>A</x:v>
      </x:c>
      <x:c r="F11" s="20" t="str">
        <x:v>企业服务及赞助优先；现金奖励设预算；不靠新币付成本</x:v>
      </x:c>
      <x:c r="G11" s="20" t="str">
        <x:v>未有覆盖资金不增加有成本奖励</x:v>
      </x:c>
      <x:c r="H11" s="20" t="str">
        <x:v>模型假设</x:v>
      </x:c>
    </x:row>
    <x:row r="12" ht="75" customHeight="1">
      <x:c r="A12" s="12" t="str">
        <x:v>R08</x:v>
      </x:c>
      <x:c r="B12" s="12" t="str">
        <x:v>低留存</x:v>
      </x:c>
      <x:c r="C12" s="12" t="str">
        <x:v>中</x:v>
      </x:c>
      <x:c r="D12" s="12" t="str">
        <x:v>高</x:v>
      </x:c>
      <x:c r="E12" s="12" t="str">
        <x:v>D</x:v>
      </x:c>
      <x:c r="F12" s="12" t="str">
        <x:v>两轮迭代；按cohort观察；不靠加大币奖励掩盖</x:v>
      </x:c>
      <x:c r="G12" s="12" t="str">
        <x:v>D7&lt;20%连续两批：暂停扩张</x:v>
      </x:c>
      <x:c r="H12" s="12" t="str">
        <x:v>设计门槛</x:v>
      </x:c>
    </x:row>
    <x:row r="13" ht="75" customHeight="1">
      <x:c r="A13" s="20" t="str">
        <x:v>R09</x:v>
      </x:c>
      <x:c r="B13" s="20" t="str">
        <x:v>原生健康模块整合</x:v>
      </x:c>
      <x:c r="C13" s="20" t="str">
        <x:v>高</x:v>
      </x:c>
      <x:c r="D13" s="20" t="str">
        <x:v>高</x:v>
      </x:c>
      <x:c r="E13" s="20" t="str">
        <x:v>B</x:v>
      </x:c>
      <x:c r="F13" s="20" t="str">
        <x:v>真实设备读取作为前置关卡；先完成单平台并保留风险处理资源</x:v>
      </x:c>
      <x:c r="G13" s="20" t="str">
        <x:v>核心验收未通过则停止扩展功能；不删除安全测试</x:v>
      </x:c>
      <x:c r="H13" s="20" t="str">
        <x:v>设计门槛</x:v>
      </x:c>
    </x:row>
    <x:row r="14" ht="75" customHeight="1">
      <x:c r="A14" s="12" t="str">
        <x:v>R10</x:v>
      </x:c>
      <x:c r="B14" s="12" t="str">
        <x:v>假合作/假需求/假ESG</x:v>
      </x:c>
      <x:c r="C14" s="12" t="str">
        <x:v>中</x:v>
      </x:c>
      <x:c r="D14" s="12" t="str">
        <x:v>高</x:v>
      </x:c>
      <x:c r="E14" s="12" t="str">
        <x:v>A</x:v>
      </x:c>
      <x:c r="F14" s="12" t="str">
        <x:v>事实/假设/结果三分；商标先授权</x:v>
      </x:c>
      <x:c r="G14" s="12" t="str">
        <x:v>缺原始纪录不得使用数字或合作称号</x:v>
      </x:c>
      <x:c r="H14" s="12" t="str">
        <x:v>研究纪律</x:v>
      </x:c>
    </x:row>
    <x:row r="15" ht="75" customHeight="1">
      <x:c r="A15" s="20" t="str">
        <x:v>R11</x:v>
      </x:c>
      <x:c r="B15" s="20" t="str">
        <x:v>市场下跌/流动性</x:v>
      </x:c>
      <x:c r="C15" s="20" t="str">
        <x:v>高</x:v>
      </x:c>
      <x:c r="D15" s="20" t="str">
        <x:v>高</x:v>
      </x:c>
      <x:c r="E15" s="20" t="str">
        <x:v>A</x:v>
      </x:c>
      <x:c r="F15" s="20" t="str">
        <x:v>不保价、不杠杆；现金与token分开；压力测试</x:v>
      </x:c>
      <x:c r="G15" s="20" t="str">
        <x:v>现金低于批准的储备门槛时停止扩张及新增有成本奖励</x:v>
      </x:c>
      <x:c r="H15" s="20" t="str">
        <x:v>条件式主网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0ea4b3110274f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56" hidden="0" customWidth="1"/>
    <x:col min="5" max="5" width="12" hidden="0" customWidth="1"/>
    <x:col min="6" max="6" width="16" hidden="0" customWidth="1"/>
    <x:col min="7" max="7" width="12" hidden="0" customWidth="1"/>
    <x:col min="8" max="8" width="42" hidden="0" customWidth="1"/>
  </x:cols>
  <x:sheetData>
    <x:row r="1" ht="36" customHeight="1">
      <x:c r="A1" s="115" t="str">
        <x:v>产品及主网放行条件</x:v>
      </x:c>
      <x:c r="B1" s="115"/>
      <x:c r="C1" s="115"/>
      <x:c r="D1" s="115"/>
      <x:c r="E1" s="115"/>
      <x:c r="F1" s="115"/>
      <x:c r="G1" s="115"/>
      <x:c r="H1" s="115"/>
    </x:row>
    <x:row r="2" ht="42" customHeight="1">
      <x:c r="A2" s="116" t="str">
        <x:v>按前置条件和证据决策，不因到期自动放行。需求技术主责为B／C；商业及专业批准保留独立责任。</x:v>
      </x:c>
      <x:c r="B2" s="116"/>
      <x:c r="C2" s="116"/>
      <x:c r="D2" s="116"/>
      <x:c r="E2" s="116"/>
      <x:c r="F2" s="116"/>
      <x:c r="G2" s="116"/>
      <x:c r="H2" s="116"/>
    </x:row>
    <x:row r="3" ht="9" customHeight="1">
      <x:c r="A3" s="113"/>
      <x:c r="B3" s="113"/>
      <x:c r="C3" s="113"/>
      <x:c r="D3" s="113"/>
      <x:c r="E3" s="113"/>
      <x:c r="F3" s="113"/>
      <x:c r="G3" s="113"/>
      <x:c r="H3" s="113"/>
    </x:row>
    <x:row r="4" ht="28" customHeight="1">
      <x:c r="A4" s="117" t="str">
        <x:v>ID</x:v>
      </x:c>
      <x:c r="B4" s="117" t="str">
        <x:v>前置条件</x:v>
      </x:c>
      <x:c r="C4" s="117" t="str">
        <x:v>关卡</x:v>
      </x:c>
      <x:c r="D4" s="117" t="str">
        <x:v>必要证据</x:v>
      </x:c>
      <x:c r="E4" s="117" t="str">
        <x:v>协调主责</x:v>
      </x:c>
      <x:c r="F4" s="117" t="str">
        <x:v>复核／批准</x:v>
      </x:c>
      <x:c r="G4" s="117" t="str">
        <x:v>状态</x:v>
      </x:c>
      <x:c r="H4" s="117" t="str">
        <x:v>不通过的处理</x:v>
      </x:c>
    </x:row>
    <x:row r="5" ht="74" customHeight="1">
      <x:c r="A5" s="118" t="str">
        <x:v>G1</x:v>
      </x:c>
      <x:c r="B5" s="118" t="str">
        <x:v>范围及原生权限设计确认</x:v>
      </x:c>
      <x:c r="C5" s="118" t="str">
        <x:v>原生读取</x:v>
      </x:c>
      <x:c r="D5" s="118" t="str">
        <x:v>至少两部iPhone读取真实步数；缺数据、不可用及撤回路径正确。</x:v>
      </x:c>
      <x:c r="E5" s="118" t="str">
        <x:v>B</x:v>
      </x:c>
      <x:c r="F5" s="118" t="str">
        <x:v>C</x:v>
      </x:c>
      <x:c r="G5" s="118" t="str">
        <x:v>未验证</x:v>
      </x:c>
      <x:c r="H5" s="118" t="str">
        <x:v>暂停扩展平台，记录真实阻塞；不伪造健康同步。</x:v>
      </x:c>
    </x:row>
    <x:row r="6" ht="74" customHeight="1">
      <x:c r="A6" s="113" t="str">
        <x:v>G2</x:v>
      </x:c>
      <x:c r="B6" s="113" t="str">
        <x:v>G1、身份权限及数据库基础完成</x:v>
      </x:c>
      <x:c r="C6" s="113" t="str">
        <x:v>核心闭环</x:v>
      </x:c>
      <x:c r="D6" s="113" t="str">
        <x:v>来源去重、同步、任务、账本及100次并发领取测试通过。</x:v>
      </x:c>
      <x:c r="E6" s="113" t="str">
        <x:v>C</x:v>
      </x:c>
      <x:c r="F6" s="113" t="str">
        <x:v>B</x:v>
      </x:c>
      <x:c r="G6" s="113" t="str">
        <x:v>未验证</x:v>
      </x:c>
      <x:c r="H6" s="113" t="str">
        <x:v>不扩大测试、不派有成本奖励。</x:v>
      </x:c>
    </x:row>
    <x:row r="7" ht="74" customHeight="1">
      <x:c r="A7" s="118" t="str">
        <x:v>G3</x:v>
      </x:c>
      <x:c r="B7" s="118" t="str">
        <x:v>G2及隐私、安全测试完成</x:v>
      </x:c>
      <x:c r="C7" s="118" t="str">
        <x:v>积分产品交付</x:v>
      </x:c>
      <x:c r="D7" s="118" t="str">
        <x:v>未解决严重／高风险缺陷为0；删除、权限、广告数据隔离通过。Lab另行验收。</x:v>
      </x:c>
      <x:c r="E7" s="118" t="str">
        <x:v>C</x:v>
      </x:c>
      <x:c r="F7" s="118" t="str">
        <x:v>B</x:v>
      </x:c>
      <x:c r="G7" s="118" t="str">
        <x:v>未验证</x:v>
      </x:c>
      <x:c r="H7" s="118" t="str">
        <x:v>仅交付已验证范围，清楚列出缺项。</x:v>
      </x:c>
    </x:row>
    <x:row r="8" ht="74" customHeight="1">
      <x:c r="A8" s="113" t="str">
        <x:v>G4</x:v>
      </x:c>
      <x:c r="B8" s="113" t="str">
        <x:v>有可运行产品及真实买家证据</x:v>
      </x:c>
      <x:c r="C8" s="113" t="str">
        <x:v>商业验证</x:v>
      </x:c>
      <x:c r="D8" s="113" t="str">
        <x:v>示例目标：≥3个付费机构、≥1000 MAU、D30≥20%；核实续约及单位经济。</x:v>
      </x:c>
      <x:c r="E8" s="113" t="str">
        <x:v>A</x:v>
      </x:c>
      <x:c r="F8" s="113" t="str">
        <x:v>D</x:v>
      </x:c>
      <x:c r="G8" s="113" t="str">
        <x:v>未验证</x:v>
      </x:c>
      <x:c r="H8" s="113" t="str">
        <x:v>维持积分产品；目标不是发币资格证。</x:v>
      </x:c>
    </x:row>
    <x:row r="9" ht="74" customHeight="1">
      <x:c r="A9" s="118" t="str">
        <x:v>G5</x:v>
      </x:c>
      <x:c r="B9" s="118" t="str">
        <x:v>代币必要性及拟议权利明确</x:v>
      </x:c>
      <x:c r="C9" s="118" t="str">
        <x:v>法律与平台</x:v>
      </x:c>
      <x:c r="D9" s="118" t="str">
        <x:v>发行、分发、推广、地域、牌照及税务意见；每个渠道另获放行。</x:v>
      </x:c>
      <x:c r="E9" s="118" t="str">
        <x:v>A</x:v>
      </x:c>
      <x:c r="F9" s="118" t="str">
        <x:v>外部律师</x:v>
      </x:c>
      <x:c r="G9" s="118" t="str">
        <x:v>未验证</x:v>
      </x:c>
      <x:c r="H9" s="118" t="str">
        <x:v>不发行；Lab不得宣称主网权益。</x:v>
      </x:c>
    </x:row>
    <x:row r="10" ht="74" customHeight="1">
      <x:c r="A10" s="113" t="str">
        <x:v>G6</x:v>
      </x:c>
      <x:c r="B10" s="113" t="str">
        <x:v>G4／G5及主网设计证据具备</x:v>
      </x:c>
      <x:c r="C10" s="113" t="str">
        <x:v>安全与经济</x:v>
      </x:c>
      <x:c r="D10" s="113" t="str">
        <x:v>独立审计、经批准的法币储备、奖励成本覆盖及低收入／高卖压压测。</x:v>
      </x:c>
      <x:c r="E10" s="113" t="str">
        <x:v>C</x:v>
      </x:c>
      <x:c r="F10" s="113" t="str">
        <x:v>外部审计</x:v>
      </x:c>
      <x:c r="G10" s="113" t="str">
        <x:v>未验证</x:v>
      </x:c>
      <x:c r="H10" s="113" t="str">
        <x:v>不主网部署，不作交易推广。</x:v>
      </x:c>
    </x:row>
  </x:sheetData>
  <x:mergeCells>
    <x:mergeCell ref="A1:H1"/>
    <x:mergeCell ref="A2:H2"/>
  </x:mergeCells>
  <x:dataValidations count="1">
    <x:dataValidation type="list" sqref="G5:G10">
      <x:formula1>"未验证,验证中,通过,不通过"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0" hidden="0" customWidth="1"/>
    <x:col min="4" max="4" width="40" hidden="0" customWidth="1"/>
  </x:cols>
  <x:sheetData>
    <x:row r="1" ht="36" customHeight="1">
      <x:c r="A1" s="3" t="str">
        <x:v>官方来源与引用索引</x:v>
      </x:c>
      <x:c r="B1" s="3"/>
      <x:c r="C1" s="3"/>
      <x:c r="D1" s="3"/>
    </x:row>
    <x:row r="2" ht="34" customHeight="1">
      <x:c r="A2" s="7" t="str">
        <x:v>查核日：2026-09-18。政策可能更新；发行及上架前重查。设计建议与假设不等于外部证据。</x:v>
      </x:c>
      <x:c r="B2" s="7"/>
      <x:c r="C2" s="7"/>
      <x:c r="D2" s="7"/>
    </x:row>
    <x:row r="3">
      <x:c r="A3"/>
      <x:c r="B3"/>
      <x:c r="C3"/>
      <x:c r="D3"/>
    </x:row>
    <x:row r="4" ht="28" customHeight="1">
      <x:c r="A4" s="17" t="str">
        <x:v>来源ID</x:v>
      </x:c>
      <x:c r="B4" s="17" t="str">
        <x:v>标题</x:v>
      </x:c>
      <x:c r="C4" s="17" t="str">
        <x:v>URL</x:v>
      </x:c>
      <x:c r="D4" s="17" t="str">
        <x:v>支持范围</x:v>
      </x:c>
    </x:row>
    <x:row r="5" ht="68" customHeight="1">
      <x:c r="A5" s="20" t="str">
        <x:v>S01</x:v>
      </x:c>
      <x:c r="B5" s="20" t="str">
        <x:v>Apple App Review Guidelines</x:v>
      </x:c>
      <x:c r="C5" s="20" t="str">
        <x:v>https://developer.apple.com/app-store/review/guidelines/</x:v>
      </x:c>
      <x:c r="D5" s="20" t="str">
        <x:v>3.1.5(v) 任务换币；5.1.2/5.1.3 健康资料；2.2 TestFlight；2.3.1 隐藏功能。</x:v>
      </x:c>
    </x:row>
    <x:row r="6" ht="68" customHeight="1">
      <x:c r="A6" s="12" t="str">
        <x:v>S02</x:v>
      </x:c>
      <x:c r="B6" s="12" t="str">
        <x:v>Google AdMob：Policies for ad units that offer rewards</x:v>
      </x:c>
      <x:c r="C6" s="12" t="str">
        <x:v>https://support.google.com/admob/answer/7313578?hl=en</x:v>
      </x:c>
      <x:c r="D6" s="12" t="str">
        <x:v>奖励广告不得派发现金、加密货币等直接金钱奖励；不可间接兑换绕过。</x:v>
      </x:c>
    </x:row>
    <x:row r="7" ht="68" customHeight="1">
      <x:c r="A7" s="20" t="str">
        <x:v>S03</x:v>
      </x:c>
      <x:c r="B7" s="20" t="str">
        <x:v>Google Play：Android Health Permissions</x:v>
      </x:c>
      <x:c r="C7" s="20" t="str">
        <x:v>https://support.google.com/googleplay/android-developer/answer/12991134?hl=en</x:v>
      </x:c>
      <x:c r="D7" s="20" t="str">
        <x:v>资料用途、同意、最少权限；禁止以健康资料投放广告。</x:v>
      </x:c>
    </x:row>
    <x:row r="8" ht="68" customHeight="1">
      <x:c r="A8" s="12" t="str">
        <x:v>S04</x:v>
      </x:c>
      <x:c r="B8" s="12" t="str">
        <x:v>Google Play：Blockchain-based Content</x:v>
      </x:c>
      <x:c r="C8" s="12" t="str">
        <x:v>https://support.google.com/googleplay/android-developer/answer/13607354?hl=en</x:v>
      </x:c>
      <x:c r="D8" s="12" t="str">
        <x:v>区块链内容申报及金融政策；实际发行前重查。</x:v>
      </x:c>
    </x:row>
    <x:row r="9" ht="68" customHeight="1">
      <x:c r="A9" s="20" t="str">
        <x:v>S05</x:v>
      </x:c>
      <x:c r="B9" s="20" t="str">
        <x:v>Apple Support：Manage Health data</x:v>
      </x:c>
      <x:c r="C9" s="20" t="str">
        <x:v>https://support.apple.com/en-us/108779</x:v>
      </x:c>
      <x:c r="D9" s="20" t="str">
        <x:v>手机步数、穿戴装置心率、手动输入及来源优先次序。</x:v>
      </x:c>
    </x:row>
    <x:row r="10" ht="68" customHeight="1">
      <x:c r="A10" s="12" t="str">
        <x:v>S06</x:v>
      </x:c>
      <x:c r="B10" s="12" t="str">
        <x:v>Android Developers：Read aggregated data</x:v>
      </x:c>
      <x:c r="C10" s="12" t="str">
        <x:v>https://developer.android.com/health-and-fitness/health-connect/aggregate-data</x:v>
      </x:c>
      <x:c r="D10" s="12" t="str">
        <x:v>步数聚合、来源与去重设计。</x:v>
      </x:c>
    </x:row>
    <x:row r="11" ht="68" customHeight="1">
      <x:c r="A11" s="20" t="str">
        <x:v>S07</x:v>
      </x:c>
      <x:c r="B11" s="20" t="str">
        <x:v>AIA Hong Kong：AIA Vitality</x:v>
      </x:c>
      <x:c r="C11" s="20" t="str">
        <x:v>https://www.aia.com.hk/en/health-and-wellness/aia-vitality</x:v>
      </x:c>
      <x:c r="D11" s="20" t="str">
        <x:v>本地健康积分及指定保单优惠案例；不代表本项目有合作。</x:v>
      </x:c>
    </x:row>
    <x:row r="12" ht="68" customHeight="1">
      <x:c r="A12" s="12" t="str">
        <x:v>S08</x:v>
      </x:c>
      <x:c r="B12" s="12" t="str">
        <x:v>STEPN Whitepaper：Overview</x:v>
      </x:c>
      <x:c r="C12" s="12" t="str">
        <x:v>https://whitepaper.stepn.com/overview.md</x:v>
      </x:c>
      <x:c r="D12" s="12" t="str">
        <x:v>Move-to-Earn、GST/GMT；只参考机制，不引用其宣传为成效证据。</x:v>
      </x:c>
    </x:row>
    <x:row r="13" ht="68" customHeight="1">
      <x:c r="A13" s="20" t="str">
        <x:v>S09</x:v>
      </x:c>
      <x:c r="B13" s="20" t="str">
        <x:v>SWEAT Whitepaper</x:v>
      </x:c>
      <x:c r="C13" s="20" t="str">
        <x:v>https://whitepaper.swe.at/</x:v>
      </x:c>
      <x:c r="D13" s="20" t="str">
        <x:v>活动与代币设计的比较资料；官方宣称非独立验证。</x:v>
      </x:c>
    </x:row>
    <x:row r="14" ht="68" customHeight="1">
      <x:c r="A14" s="12" t="str">
        <x:v>S10</x:v>
      </x:c>
      <x:c r="B14" s="12" t="str">
        <x:v>SFC：Statement on initial coin offerings</x:v>
      </x:c>
      <x:c r="C14" s="12" t="str">
        <x:v>https://www.sfc.hk/en/News-and-announcements/Policy-statements-and-announcements/Statement-on-initial-coin-offerings</x:v>
      </x:c>
      <x:c r="D14" s="12" t="str">
        <x:v>2017-09-05 声明：依实质权利判断证券性质；不是2026完整法律意见。</x:v>
      </x:c>
    </x:row>
    <x:row r="15" ht="68" customHeight="1">
      <x:c r="A15" s="20" t="str">
        <x:v>S11</x:v>
      </x:c>
      <x:c r="B15" s="20" t="str">
        <x:v>SFC：Virtual assets overview</x:v>
      </x:c>
      <x:c r="C15" s="20" t="str">
        <x:v>https://www.sfc.hk/en/Welcome-to-the-Fintech-Contact-Point/Virtual-assets/Overview</x:v>
      </x:c>
      <x:c r="D15" s="20" t="str">
        <x:v>发行前监管查核入口；不等于项目已获批或必须取得某指定牌照。</x:v>
      </x:c>
    </x:row>
    <x:row r="16" ht="68" customHeight="1">
      <x:c r="A16" s="12" t="str">
        <x:v>S12</x:v>
      </x:c>
      <x:c r="B16" s="12" t="str">
        <x:v>PCPD：The Ordinance at a Glance</x:v>
      </x:c>
      <x:c r="C16" s="12" t="str">
        <x:v>https://www.pcpd.org.hk/english/data_privacy_law/ordinance_at_a_Glance/ordinance.html</x:v>
      </x:c>
      <x:c r="D16" s="12" t="str">
        <x:v>香港PDPO：必要性、用途、保存、安全、查阅及更正。</x:v>
      </x:c>
    </x:row>
    <x:row r="17" ht="68" customHeight="1">
      <x:c r="A17" s="20" t="str">
        <x:v>S13</x:v>
      </x:c>
      <x:c r="B17" s="20" t="str">
        <x:v>Expo：Introduction to development builds</x:v>
      </x:c>
      <x:c r="C17" s="20" t="str">
        <x:v>https://docs.expo.dev/develop/development-builds/introduction/</x:v>
      </x:c>
      <x:c r="D17" s="20" t="str">
        <x:v>原生健康模组使用development build；不可只靠Expo Go。</x:v>
      </x:c>
    </x:row>
    <x:row r="18" ht="68" customHeight="1">
      <x:c r="A18" s="12" t="str">
        <x:v>S14</x:v>
      </x:c>
      <x:c r="B18" s="12" t="str">
        <x:v>Reown：AppKit overview</x:v>
      </x:c>
      <x:c r="C18" s="12" t="str">
        <x:v>https://docs.reown.com/appkit/overview</x:v>
      </x:c>
      <x:c r="D18" s="12" t="str">
        <x:v>多钱包连接及SIWE支援；各钱包/网络须实机验证。</x:v>
      </x:c>
    </x:row>
    <x:row r="19" ht="68" customHeight="1">
      <x:c r="A19" s="20" t="str">
        <x:v>S15</x:v>
      </x:c>
      <x:c r="B19" s="20" t="str">
        <x:v>Base：Connect to Base</x:v>
      </x:c>
      <x:c r="C19" s="20" t="str">
        <x:v>https://docs.base.org/get-started/connect-to-base</x:v>
      </x:c>
      <x:c r="D19" s="20" t="str">
        <x:v>Base Sepolia测试网；chain ID 84532。</x:v>
      </x:c>
    </x:row>
    <x:row r="20" ht="68" customHeight="1">
      <x:c r="A20" s="12" t="str">
        <x:v>S16</x:v>
      </x:c>
      <x:c r="B20" s="12" t="str">
        <x:v>OpenZeppelin：ERC20</x:v>
      </x:c>
      <x:c r="C20" s="12" t="str">
        <x:v>https://docs.openzeppelin.com/contracts/5.x/api/token/erc20</x:v>
      </x:c>
      <x:c r="D20" s="12" t="str">
        <x:v>ERC20、Burnable及Capped工具；使用工具不等于合约已审计。</x:v>
      </x:c>
    </x:row>
    <x:row r="21" ht="68" customHeight="1">
      <x:c r="A21" s="20" t="str">
        <x:v>S17</x:v>
      </x:c>
      <x:c r="B21" s="20" t="str">
        <x:v>ERC-4361：Sign-In with Ethereum</x:v>
      </x:c>
      <x:c r="C21" s="20" t="str">
        <x:v>https://eips.ethereum.org/EIPS/eip-4361</x:v>
      </x:c>
      <x:c r="D21" s="20" t="str">
        <x:v>钱包签署登入、domain、nonce、chain-id等验证。</x:v>
      </x:c>
    </x:row>
    <x:row r="22" ht="68" customHeight="1">
      <x:c r="A22" s="12" t="str">
        <x:v>S18</x:v>
      </x:c>
      <x:c r="B22" s="12" t="str">
        <x:v>Supabase：Row Level Security</x:v>
      </x:c>
      <x:c r="C22" s="12" t="str">
        <x:v>https://supabase.com/docs/guides/database/postgres/row-level-security</x:v>
      </x:c>
      <x:c r="D22" s="12" t="str">
        <x:v>逐行权限与服务端权限隔离。</x:v>
      </x:c>
    </x:row>
    <x:row r="23" ht="66" customHeight="1">
      <x:c r="A23" s="93" t="str">
        <x:v>S19</x:v>
      </x:c>
      <x:c r="B23" s="93" t="str">
        <x:v>OpenAI：AGENTS.md</x:v>
      </x:c>
      <x:c r="C23" s="93" t="str">
        <x:v>https://developers.openai.com/codex/guides/agents-md/</x:v>
      </x:c>
      <x:c r="D23" s="93" t="str">
        <x:v>Codex仓库指令；将详细规格分文件保存，开发前核对最新官方文档。</x:v>
      </x:c>
    </x:row>
    <x:row r="24" ht="66" customHeight="1">
      <x:c r="A24" s="93" t="str">
        <x:v>S20</x:v>
      </x:c>
      <x:c r="B24" s="93" t="str">
        <x:v>OpenAI：Codex prompting</x:v>
      </x:c>
      <x:c r="C24" s="93" t="str">
        <x:v>https://developers.openai.com/codex/prompting/</x:v>
      </x:c>
      <x:c r="D24" s="93" t="str">
        <x:v>工作上下文、可执行任务及测试证据；不是一次提示即自动通过验收的保证。</x:v>
      </x:c>
    </x:row>
    <x:row r="25" ht="66" customHeight="1">
      <x:c r="A25" s="93" t="str">
        <x:v>S21</x:v>
      </x:c>
      <x:c r="B25" s="93" t="str">
        <x:v>Apple：HealthKit授权</x:v>
      </x:c>
      <x:c r="C25" s="93" t="str">
        <x:v>https://developer.apple.com/documentation/healthkit/authorizing-access-to-health-data</x:v>
      </x:c>
      <x:c r="D25" s="93" t="str">
        <x:v>读取授权状态的隐私限制；空数据不等于已知拒绝授权。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4bf31786c04452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40" hidden="0" customWidth="1"/>
  </x:cols>
  <x:sheetData>
    <x:row r="1" ht="36" customHeight="1">
      <x:c r="A1" s="3" t="str">
        <x:v>月度情境假设（HKD）</x:v>
      </x:c>
      <x:c r="B1" s="3"/>
      <x:c r="C1" s="3"/>
      <x:c r="D1" s="3"/>
      <x:c r="E1" s="3"/>
      <x:c r="F1" s="3"/>
    </x:row>
    <x:row r="2" ht="34" customHeight="1">
      <x:c r="A2" s="7" t="str">
        <x:v>蓝字为可改输入；全部商业数值均是假设，不是预测。代币发售、升值、treasury帐面值均不计收入。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 ht="28" customHeight="1">
      <x:c r="A4" s="17" t="str">
        <x:v>参数</x:v>
      </x:c>
      <x:c r="B4" s="17" t="str">
        <x:v>保守</x:v>
      </x:c>
      <x:c r="C4" s="17" t="str">
        <x:v>基准</x:v>
      </x:c>
      <x:c r="D4" s="17" t="str">
        <x:v>扩展</x:v>
      </x:c>
      <x:c r="E4" s="17" t="str">
        <x:v>单位</x:v>
      </x:c>
      <x:c r="F4" s="17" t="str">
        <x:v>依据／备注</x:v>
      </x:c>
    </x:row>
    <x:row r="5" ht="46" customHeight="1">
      <x:c r="A5" s="20" t="str">
        <x:v>月活跃用户（MAU）</x:v>
      </x:c>
      <x:c r="B5" s="30" t="n">
        <x:v>1000</x:v>
      </x:c>
      <x:c r="C5" s="30" t="n">
        <x:v>5000</x:v>
      </x:c>
      <x:c r="D5" s="30" t="n">
        <x:v>15000</x:v>
      </x:c>
      <x:c r="E5" s="20" t="str">
        <x:v>人</x:v>
      </x:c>
      <x:c r="F5" s="20" t="str">
        <x:v>规划假设；未有实测</x:v>
      </x:c>
    </x:row>
    <x:row r="6" ht="46" customHeight="1">
      <x:c r="A6" s="12" t="str">
        <x:v>DAU／MAU</x:v>
      </x:c>
      <x:c r="B6" s="34" t="n">
        <x:v>0.2</x:v>
      </x:c>
      <x:c r="C6" s="34" t="n">
        <x:v>0.25</x:v>
      </x:c>
      <x:c r="D6" s="34" t="n">
        <x:v>0.3</x:v>
      </x:c>
      <x:c r="E6" s="12" t="str">
        <x:v>比例</x:v>
      </x:c>
      <x:c r="F6" s="12" t="str">
        <x:v>规划假设；不是行业基准</x:v>
      </x:c>
    </x:row>
    <x:row r="7" ht="46" customHeight="1">
      <x:c r="A7" s="20" t="str">
        <x:v>每名DAU每日广告机会</x:v>
      </x:c>
      <x:c r="B7" s="30" t="n">
        <x:v>2</x:v>
      </x:c>
      <x:c r="C7" s="30" t="n">
        <x:v>2</x:v>
      </x:c>
      <x:c r="D7" s="30" t="n">
        <x:v>2</x:v>
      </x:c>
      <x:c r="E7" s="20" t="str">
        <x:v>次</x:v>
      </x:c>
      <x:c r="F7" s="20" t="str">
        <x:v>非奖励型、非健康定向；功能先通过平台评估</x:v>
      </x:c>
    </x:row>
    <x:row r="8" ht="46" customHeight="1">
      <x:c r="A8" s="12" t="str">
        <x:v>每月天数</x:v>
      </x:c>
      <x:c r="B8" s="31" t="n">
        <x:v>30</x:v>
      </x:c>
      <x:c r="C8" s="31" t="n">
        <x:v>30</x:v>
      </x:c>
      <x:c r="D8" s="31" t="n">
        <x:v>30</x:v>
      </x:c>
      <x:c r="E8" s="12" t="str">
        <x:v>日</x:v>
      </x:c>
      <x:c r="F8" s="12" t="str">
        <x:v>统一示例月份</x:v>
      </x:c>
    </x:row>
    <x:row r="9" ht="46" customHeight="1">
      <x:c r="A9" s="20" t="str">
        <x:v>广告填充率</x:v>
      </x:c>
      <x:c r="B9" s="36" t="n">
        <x:v>0.7</x:v>
      </x:c>
      <x:c r="C9" s="36" t="n">
        <x:v>0.8</x:v>
      </x:c>
      <x:c r="D9" s="36" t="n">
        <x:v>0.85</x:v>
      </x:c>
      <x:c r="E9" s="20" t="str">
        <x:v>比例</x:v>
      </x:c>
      <x:c r="F9" s="20" t="str">
        <x:v>未取得广告网络实际报价</x:v>
      </x:c>
    </x:row>
    <x:row r="10" ht="46" customHeight="1">
      <x:c r="A10" s="12" t="str">
        <x:v>每千次有效曝光收入</x:v>
      </x:c>
      <x:c r="B10" s="31" t="n">
        <x:v>20</x:v>
      </x:c>
      <x:c r="C10" s="31" t="n">
        <x:v>30</x:v>
      </x:c>
      <x:c r="D10" s="31" t="n">
        <x:v>40</x:v>
      </x:c>
      <x:c r="E10" s="12" t="str">
        <x:v>HKD</x:v>
      </x:c>
      <x:c r="F10" s="12" t="str">
        <x:v>eCPM假设；未有已实现收益</x:v>
      </x:c>
    </x:row>
    <x:row r="11" ht="46" customHeight="1">
      <x:c r="A11" s="20" t="str">
        <x:v>每月付费赞助商</x:v>
      </x:c>
      <x:c r="B11" s="30" t="n">
        <x:v>1</x:v>
      </x:c>
      <x:c r="C11" s="30" t="n">
        <x:v>3</x:v>
      </x:c>
      <x:c r="D11" s="30" t="n">
        <x:v>8</x:v>
      </x:c>
      <x:c r="E11" s="20" t="str">
        <x:v>家</x:v>
      </x:c>
      <x:c r="F11" s="20" t="str">
        <x:v>不代表已签约</x:v>
      </x:c>
    </x:row>
    <x:row r="12" ht="46" customHeight="1">
      <x:c r="A12" s="12" t="str">
        <x:v>每家每月赞助费</x:v>
      </x:c>
      <x:c r="B12" s="31" t="n">
        <x:v>3000</x:v>
      </x:c>
      <x:c r="C12" s="31" t="n">
        <x:v>5000</x:v>
      </x:c>
      <x:c r="D12" s="31" t="n">
        <x:v>7000</x:v>
      </x:c>
      <x:c r="E12" s="12" t="str">
        <x:v>HKD</x:v>
      </x:c>
      <x:c r="F12" s="12" t="str">
        <x:v>服务收入；需访谈与实际报价验证</x:v>
      </x:c>
    </x:row>
    <x:row r="13" ht="46" customHeight="1">
      <x:c r="A13" s="20" t="str">
        <x:v>每月付费企业</x:v>
      </x:c>
      <x:c r="B13" s="30" t="n">
        <x:v>0</x:v>
      </x:c>
      <x:c r="C13" s="30" t="n">
        <x:v>2</x:v>
      </x:c>
      <x:c r="D13" s="30" t="n">
        <x:v>6</x:v>
      </x:c>
      <x:c r="E13" s="20" t="str">
        <x:v>家</x:v>
      </x:c>
      <x:c r="F13" s="20" t="str">
        <x:v>与赞助合约分开，不重复计同一收入</x:v>
      </x:c>
    </x:row>
    <x:row r="14" ht="46" customHeight="1">
      <x:c r="A14" s="12" t="str">
        <x:v>每家每月企业服务费</x:v>
      </x:c>
      <x:c r="B14" s="31" t="n">
        <x:v>2000</x:v>
      </x:c>
      <x:c r="C14" s="31" t="n">
        <x:v>3000</x:v>
      </x:c>
      <x:c r="D14" s="31" t="n">
        <x:v>5000</x:v>
      </x:c>
      <x:c r="E14" s="12" t="str">
        <x:v>HKD</x:v>
      </x:c>
      <x:c r="F14" s="12" t="str">
        <x:v>不收购员工健康个资</x:v>
      </x:c>
    </x:row>
    <x:row r="15" ht="46" customHeight="1">
      <x:c r="A15" s="20" t="str">
        <x:v>商户净佣金</x:v>
      </x:c>
      <x:c r="B15" s="30" t="n">
        <x:v>0</x:v>
      </x:c>
      <x:c r="C15" s="30" t="n">
        <x:v>1000</x:v>
      </x:c>
      <x:c r="D15" s="30" t="n">
        <x:v>5000</x:v>
      </x:c>
      <x:c r="E15" s="20" t="str">
        <x:v>HKD/月</x:v>
      </x:c>
      <x:c r="F15" s="20" t="str">
        <x:v>只计已核实净佣金，非交易总额</x:v>
      </x:c>
    </x:row>
    <x:row r="16" ht="46" customHeight="1">
      <x:c r="A16" s="12" t="str">
        <x:v>平台负担奖励及核销成本</x:v>
      </x:c>
      <x:c r="B16" s="31" t="n">
        <x:v>1500</x:v>
      </x:c>
      <x:c r="C16" s="31" t="n">
        <x:v>7000</x:v>
      </x:c>
      <x:c r="D16" s="31" t="n">
        <x:v>28000</x:v>
      </x:c>
      <x:c r="E16" s="12" t="str">
        <x:v>HKD/月</x:v>
      </x:c>
      <x:c r="F16" s="12" t="str">
        <x:v>不含未发币估值；预付代管奖池须另帐避免重计</x:v>
      </x:c>
    </x:row>
    <x:row r="17" ht="46" customHeight="1">
      <x:c r="A17" s="20" t="str">
        <x:v>变动服务成本</x:v>
      </x:c>
      <x:c r="B17" s="30" t="n">
        <x:v>500</x:v>
      </x:c>
      <x:c r="C17" s="30" t="n">
        <x:v>2000</x:v>
      </x:c>
      <x:c r="D17" s="30" t="n">
        <x:v>6000</x:v>
      </x:c>
      <x:c r="E17" s="20" t="str">
        <x:v>HKD/月</x:v>
      </x:c>
      <x:c r="F17" s="20" t="str">
        <x:v>客服、核销、通讯等假设</x:v>
      </x:c>
    </x:row>
    <x:row r="18" ht="46" customHeight="1">
      <x:c r="A18" s="12" t="str">
        <x:v>固定现金营运支出</x:v>
      </x:c>
      <x:c r="B18" s="31" t="n">
        <x:v>6000</x:v>
      </x:c>
      <x:c r="C18" s="31" t="n">
        <x:v>10000</x:v>
      </x:c>
      <x:c r="D18" s="31" t="n">
        <x:v>20000</x:v>
      </x:c>
      <x:c r="E18" s="12" t="str">
        <x:v>HKD/月</x:v>
      </x:c>
      <x:c r="F18" s="12" t="str">
        <x:v>不包括创办人薪酬、税项及融资成本</x:v>
      </x:c>
    </x:row>
    <x:row r="19" ht="44" customHeight="1">
      <x:c r="A19" s="20" t="str">
        <x:v>劳动预算与开发进度无关，须另行批准。</x:v>
      </x:c>
      <x:c r="B19" s="30"/>
      <x:c r="C19" s="30"/>
      <x:c r="D19" s="30"/>
      <x:c r="E19" s="20"/>
      <x:c r="F19" s="20"/>
    </x:row>
    <x:row r="20" ht="64" customHeight="1">
      <x:c r="A20" s="12" t="str">
        <x:v>创办人月度劳动预算（独立示例）</x:v>
      </x:c>
      <x:c r="B20" s="31" t="n">
        <x:v>36000</x:v>
      </x:c>
      <x:c r="C20" s="31" t="n">
        <x:v>36000</x:v>
      </x:c>
      <x:c r="D20" s="31" t="n">
        <x:v>36000</x:v>
      </x:c>
      <x:c r="E20" s="12" t="str">
        <x:v>HKD／月</x:v>
      </x:c>
      <x:c r="F20" s="12" t="str">
        <x:v>团队待核实假设；不由人数、周数或排班推算，也不构成薪酬承诺。</x:v>
      </x:c>
    </x:row>
    <x:row r="21" ht="46" customHeight="1">
      <x:c r="A21" s="20"/>
      <x:c r="B21" s="30"/>
      <x:c r="C21" s="30"/>
      <x:c r="D21" s="30"/>
      <x:c r="E21" s="20"/>
      <x:c r="F21" s="20"/>
    </x:row>
    <x:row r="22" ht="46" customHeight="1">
      <x:c r="A22" s="12"/>
      <x:c r="B22" s="31"/>
      <x:c r="C22" s="31"/>
      <x:c r="D22" s="31"/>
      <x:c r="E22" s="12"/>
      <x:c r="F22" s="12"/>
    </x:row>
    <x:row r="23" ht="46" customHeight="1">
      <x:c r="A23" s="20" t="str">
        <x:v>eCPM计价曝光数</x:v>
      </x:c>
      <x:c r="B23" s="30" t="n">
        <x:v>1000</x:v>
      </x:c>
      <x:c r="C23" s="30" t="n">
        <x:v>1000</x:v>
      </x:c>
      <x:c r="D23" s="30" t="n">
        <x:v>1000</x:v>
      </x:c>
      <x:c r="E23" s="20" t="str">
        <x:v>次</x:v>
      </x:c>
      <x:c r="F23" s="20" t="str">
        <x:v>每千次曝光的单位换算</x:v>
      </x:c>
    </x:row>
  </x:sheetData>
  <x:mergeCells>
    <x:mergeCell ref="A1:F1"/>
    <x:mergeCell ref="A2:F2"/>
  </x:mergeCells>
  <x:pageMargins left="0.7" right="0.7" top="0.75" bottom="0.75" header="0.3" footer="0.3"/>
  <x:legacyDrawing xmlns:r="http://schemas.openxmlformats.org/officeDocument/2006/relationships" r:id="Rd9a519144fa64c60"/>
  <x:tableParts count="1">
    <x:tablePart xmlns:r="http://schemas.openxmlformats.org/officeDocument/2006/relationships" r:id="Rac05a292abc64c9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6" customHeight="1">
      <x:c r="A1" s="3" t="str">
        <x:v>月度商业模式压力测试（HKD）</x:v>
      </x:c>
      <x:c r="B1" s="3"/>
      <x:c r="C1" s="3"/>
      <x:c r="D1" s="3"/>
    </x:row>
    <x:row r="2" ht="34" customHeight="1">
      <x:c r="A2" s="7" t="str">
        <x:v>此处为单月情境，不是三个连续月份；有正数现金贡献不代表足以养活四位创办人。</x:v>
      </x:c>
      <x:c r="B2" s="7"/>
      <x:c r="C2" s="7"/>
      <x:c r="D2" s="7"/>
    </x:row>
    <x:row r="3">
      <x:c r="A3"/>
      <x:c r="B3"/>
      <x:c r="C3"/>
      <x:c r="D3"/>
    </x:row>
    <x:row r="4" ht="28" customHeight="1">
      <x:c r="A4" s="17" t="str">
        <x:v>项目</x:v>
      </x:c>
      <x:c r="B4" s="17" t="str">
        <x:v>保守</x:v>
      </x:c>
      <x:c r="C4" s="17" t="str">
        <x:v>基准</x:v>
      </x:c>
      <x:c r="D4" s="17" t="str">
        <x:v>扩展</x:v>
      </x:c>
    </x:row>
    <x:row r="5" ht="28" customHeight="1">
      <x:c r="A5" s="20" t="str">
        <x:v>月活跃用户（MAU）</x:v>
      </x:c>
      <x:c r="B5" s="46" t="n">
        <x:f>'财务假设'!B5</x:f>
        <x:v>1000</x:v>
      </x:c>
      <x:c r="C5" s="46" t="n">
        <x:f>'财务假设'!C5</x:f>
        <x:v>5000</x:v>
      </x:c>
      <x:c r="D5" s="46" t="n">
        <x:f>'财务假设'!D5</x:f>
        <x:v>15000</x:v>
      </x:c>
    </x:row>
    <x:row r="6" ht="28" customHeight="1">
      <x:c r="A6" s="12" t="str">
        <x:v>每日活跃用户（DAU）</x:v>
      </x:c>
      <x:c r="B6" s="47" t="n">
        <x:f>B5*'财务假设'!B6</x:f>
        <x:v>200</x:v>
      </x:c>
      <x:c r="C6" s="47" t="n">
        <x:f>C5*'财务假设'!C6</x:f>
        <x:v>1250</x:v>
      </x:c>
      <x:c r="D6" s="47" t="n">
        <x:f>D5*'财务假设'!D6</x:f>
        <x:v>4500</x:v>
      </x:c>
    </x:row>
    <x:row r="7" ht="28" customHeight="1">
      <x:c r="A7" s="20" t="str">
        <x:v>每月有效广告曝光</x:v>
      </x:c>
      <x:c r="B7" s="46" t="n">
        <x:f>B6*'财务假设'!B7*'财务假设'!B8*'财务假设'!B9</x:f>
        <x:v>8400</x:v>
      </x:c>
      <x:c r="C7" s="46" t="n">
        <x:f>C6*'财务假设'!C7*'财务假设'!C8*'财务假设'!C9</x:f>
        <x:v>60000</x:v>
      </x:c>
      <x:c r="D7" s="46" t="n">
        <x:f>D6*'财务假设'!D7*'财务假设'!D8*'财务假设'!D9</x:f>
        <x:v>229500</x:v>
      </x:c>
    </x:row>
    <x:row r="8" ht="28" customHeight="1">
      <x:c r="A8" s="12" t="str">
        <x:v>广告收入</x:v>
      </x:c>
      <x:c r="B8" s="47" t="n">
        <x:f>B7/'财务假设'!B23*'财务假设'!B10</x:f>
        <x:v>168</x:v>
      </x:c>
      <x:c r="C8" s="47" t="n">
        <x:f>C7/'财务假设'!C23*'财务假设'!C10</x:f>
        <x:v>1800</x:v>
      </x:c>
      <x:c r="D8" s="47" t="n">
        <x:f>D7/'财务假设'!D23*'财务假设'!D10</x:f>
        <x:v>9180</x:v>
      </x:c>
    </x:row>
    <x:row r="9" ht="28" customHeight="1">
      <x:c r="A9" s="20" t="str">
        <x:v>赞助收入</x:v>
      </x:c>
      <x:c r="B9" s="46" t="n">
        <x:f>'财务假设'!B11*'财务假设'!B12</x:f>
        <x:v>3000</x:v>
      </x:c>
      <x:c r="C9" s="46" t="n">
        <x:f>'财务假设'!C11*'财务假设'!C12</x:f>
        <x:v>15000</x:v>
      </x:c>
      <x:c r="D9" s="46" t="n">
        <x:f>'财务假设'!D11*'财务假设'!D12</x:f>
        <x:v>56000</x:v>
      </x:c>
    </x:row>
    <x:row r="10" ht="28" customHeight="1">
      <x:c r="A10" s="12" t="str">
        <x:v>企业服务收入</x:v>
      </x:c>
      <x:c r="B10" s="47" t="n">
        <x:f>'财务假设'!B13*'财务假设'!B14</x:f>
        <x:v>0</x:v>
      </x:c>
      <x:c r="C10" s="47" t="n">
        <x:f>'财务假设'!C13*'财务假设'!C14</x:f>
        <x:v>6000</x:v>
      </x:c>
      <x:c r="D10" s="47" t="n">
        <x:f>'财务假设'!D13*'财务假设'!D14</x:f>
        <x:v>30000</x:v>
      </x:c>
    </x:row>
    <x:row r="11" ht="28" customHeight="1">
      <x:c r="A11" s="20" t="str">
        <x:v>商户净佣金</x:v>
      </x:c>
      <x:c r="B11" s="46" t="n">
        <x:f>'财务假设'!B15</x:f>
        <x:v>0</x:v>
      </x:c>
      <x:c r="C11" s="46" t="n">
        <x:f>'财务假设'!C15</x:f>
        <x:v>1000</x:v>
      </x:c>
      <x:c r="D11" s="46" t="n">
        <x:f>'财务假设'!D15</x:f>
        <x:v>5000</x:v>
      </x:c>
    </x:row>
    <x:row r="12" ht="28" customHeight="1">
      <x:c r="A12" s="66" t="str">
        <x:v>总收入</x:v>
      </x:c>
      <x:c r="B12" s="67" t="n">
        <x:f>SUM(B8:B11)</x:f>
        <x:v>3168</x:v>
      </x:c>
      <x:c r="C12" s="67" t="n">
        <x:f>SUM(C8:C11)</x:f>
        <x:v>23800</x:v>
      </x:c>
      <x:c r="D12" s="67" t="n">
        <x:f>SUM(D8:D11)</x:f>
        <x:v>100180</x:v>
      </x:c>
    </x:row>
    <x:row r="13" ht="28" customHeight="1">
      <x:c r="A13" s="20"/>
      <x:c r="B13" s="49"/>
      <x:c r="C13" s="49"/>
      <x:c r="D13" s="49"/>
    </x:row>
    <x:row r="14" ht="28" customHeight="1">
      <x:c r="A14" s="12" t="str">
        <x:v>平台负担奖励及核销成本</x:v>
      </x:c>
      <x:c r="B14" s="47" t="n">
        <x:f>'财务假设'!B16</x:f>
        <x:v>1500</x:v>
      </x:c>
      <x:c r="C14" s="47" t="n">
        <x:f>'财务假设'!C16</x:f>
        <x:v>7000</x:v>
      </x:c>
      <x:c r="D14" s="47" t="n">
        <x:f>'财务假设'!D16</x:f>
        <x:v>28000</x:v>
      </x:c>
    </x:row>
    <x:row r="15" ht="28" customHeight="1">
      <x:c r="A15" s="20" t="str">
        <x:v>变动服务成本</x:v>
      </x:c>
      <x:c r="B15" s="46" t="n">
        <x:f>'财务假设'!B17</x:f>
        <x:v>500</x:v>
      </x:c>
      <x:c r="C15" s="46" t="n">
        <x:f>'财务假设'!C17</x:f>
        <x:v>2000</x:v>
      </x:c>
      <x:c r="D15" s="46" t="n">
        <x:f>'财务假设'!D17</x:f>
        <x:v>6000</x:v>
      </x:c>
    </x:row>
    <x:row r="16" ht="28" customHeight="1">
      <x:c r="A16" s="12" t="str">
        <x:v>固定现金营运成本</x:v>
      </x:c>
      <x:c r="B16" s="47" t="n">
        <x:f>'财务假设'!B18</x:f>
        <x:v>6000</x:v>
      </x:c>
      <x:c r="C16" s="47" t="n">
        <x:f>'财务假设'!C18</x:f>
        <x:v>10000</x:v>
      </x:c>
      <x:c r="D16" s="47" t="n">
        <x:f>'财务假设'!D18</x:f>
        <x:v>20000</x:v>
      </x:c>
    </x:row>
    <x:row r="17" ht="28" customHeight="1">
      <x:c r="A17" s="66" t="str">
        <x:v>总现金营运成本</x:v>
      </x:c>
      <x:c r="B17" s="67" t="n">
        <x:f>SUM(B14:B16)</x:f>
        <x:v>8000</x:v>
      </x:c>
      <x:c r="C17" s="67" t="n">
        <x:f>SUM(C14:C16)</x:f>
        <x:v>19000</x:v>
      </x:c>
      <x:c r="D17" s="67" t="n">
        <x:f>SUM(D14:D16)</x:f>
        <x:v>54000</x:v>
      </x:c>
    </x:row>
    <x:row r="18" ht="28" customHeight="1">
      <x:c r="A18" s="66" t="str">
        <x:v>扣创办人薪酬前现金贡献</x:v>
      </x:c>
      <x:c r="B18" s="67" t="n">
        <x:f>B12-B17</x:f>
        <x:v>-4832</x:v>
      </x:c>
      <x:c r="C18" s="67" t="n">
        <x:f>C12-C17</x:f>
        <x:v>4800</x:v>
      </x:c>
      <x:c r="D18" s="67" t="n">
        <x:f>D12-D17</x:f>
        <x:v>46180</x:v>
      </x:c>
    </x:row>
    <x:row r="19" ht="28" customHeight="1">
      <x:c r="A19" s="20"/>
      <x:c r="B19" s="49"/>
      <x:c r="C19" s="49"/>
      <x:c r="D19" s="49"/>
    </x:row>
    <x:row r="20" ht="28" customHeight="1">
      <x:c r="A20" s="12" t="str">
        <x:v>创办人月度劳动预算（示例）</x:v>
      </x:c>
      <x:c r="B20" s="47" t="n">
        <x:f>'财务假设'!B20</x:f>
        <x:v>36000</x:v>
      </x:c>
      <x:c r="C20" s="47" t="n">
        <x:f>'财务假设'!C20</x:f>
        <x:v>36000</x:v>
      </x:c>
      <x:c r="D20" s="47" t="n">
        <x:f>'财务假设'!D20</x:f>
        <x:v>36000</x:v>
      </x:c>
    </x:row>
    <x:row r="21" ht="28" customHeight="1">
      <x:c r="A21" s="66" t="str">
        <x:v>扣劳动预算后余额（非净利润）</x:v>
      </x:c>
      <x:c r="B21" s="67" t="n">
        <x:f>B18-B20</x:f>
        <x:v>-40832</x:v>
      </x:c>
      <x:c r="C21" s="67" t="n">
        <x:f>C18-C20</x:f>
        <x:v>-31200</x:v>
      </x:c>
      <x:c r="D21" s="67" t="n">
        <x:f>D18-D20</x:f>
        <x:v>10180</x:v>
      </x:c>
    </x:row>
    <x:row r="22" ht="28" customHeight="1">
      <x:c r="A22" s="12"/>
      <x:c r="B22" s="51"/>
      <x:c r="C22" s="51"/>
      <x:c r="D22" s="51"/>
    </x:row>
    <x:row r="23" ht="28" customHeight="1">
      <x:c r="A23" s="20" t="str">
        <x:v>每MAU月广告收入</x:v>
      </x:c>
      <x:c r="B23" s="58" t="n">
        <x:f>IFERROR(B8/B5,0)</x:f>
        <x:v>0.168</x:v>
      </x:c>
      <x:c r="C23" s="58" t="n">
        <x:f>IFERROR(C8/C5,0)</x:f>
        <x:v>0.36</x:v>
      </x:c>
      <x:c r="D23" s="58" t="n">
        <x:f>IFERROR(D8/D5,0)</x:f>
        <x:v>0.612</x:v>
      </x:c>
    </x:row>
    <x:row r="24" ht="28" customHeight="1">
      <x:c r="A24" s="12" t="str">
        <x:v>每MAU月奖励成本</x:v>
      </x:c>
      <x:c r="B24" s="59" t="n">
        <x:f>IFERROR(B14/B5,0)</x:f>
        <x:v>1.5</x:v>
      </x:c>
      <x:c r="C24" s="59" t="n">
        <x:f>IFERROR(C14/C5,0)</x:f>
        <x:v>1.4</x:v>
      </x:c>
      <x:c r="D24" s="59" t="n">
        <x:f>IFERROR(D14/D5,0)</x:f>
        <x:v>1.8666666666666667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40" hidden="0" customWidth="1"/>
  </x:cols>
  <x:sheetData>
    <x:row r="1" ht="36" customHeight="1">
      <x:c r="A1" s="3" t="str">
        <x:v>产品范围现金预算（HKD）</x:v>
      </x:c>
      <x:c r="B1" s="3"/>
      <x:c r="C1" s="3"/>
    </x:row>
    <x:row r="2" ht="34" customHeight="1">
      <x:c r="A2" s="7" t="str">
        <x:v>全部为未询价范围预算，非固定期限总价。实际按工具用量、供应商报价及批准范围调整。</x:v>
      </x:c>
      <x:c r="B2" s="7"/>
      <x:c r="C2" s="7"/>
    </x:row>
    <x:row r="3">
      <x:c r="A3"/>
      <x:c r="B3"/>
      <x:c r="C3"/>
    </x:row>
    <x:row r="4" ht="28" customHeight="1">
      <x:c r="A4" s="17" t="str">
        <x:v>项目</x:v>
      </x:c>
      <x:c r="B4" s="17" t="str">
        <x:v>预算HKD</x:v>
      </x:c>
      <x:c r="C4" s="17" t="str">
        <x:v>备注</x:v>
      </x:c>
    </x:row>
    <x:row r="5" ht="46" customHeight="1">
      <x:c r="A5" s="20" t="str">
        <x:v>云端、域名、开发／AI工具</x:v>
      </x:c>
      <x:c r="B5" s="30" t="n">
        <x:v>5000</x:v>
      </x:c>
      <x:c r="C5" s="20" t="str">
        <x:v>首版规划假设；需询价</x:v>
      </x:c>
    </x:row>
    <x:row r="6" ht="46" customHeight="1">
      <x:c r="A6" s="12" t="str">
        <x:v>开发帐号与测试装置补充</x:v>
      </x:c>
      <x:c r="B6" s="31" t="n">
        <x:v>4000</x:v>
      </x:c>
      <x:c r="C6" s="12" t="str">
        <x:v>现有装置优先；需确认签署资源</x:v>
      </x:c>
    </x:row>
    <x:row r="7" ht="46" customHeight="1">
      <x:c r="A7" s="20" t="str">
        <x:v>设计素材、授权及杂项</x:v>
      </x:c>
      <x:c r="B7" s="30" t="n">
        <x:v>1500</x:v>
      </x:c>
      <x:c r="C7" s="20" t="str">
        <x:v>需保留授权来源</x:v>
      </x:c>
    </x:row>
    <x:row r="8" ht="46" customHeight="1">
      <x:c r="A8" s="12" t="str">
        <x:v>用户研究／试点活动营运</x:v>
      </x:c>
      <x:c r="B8" s="31" t="n">
        <x:v>3000</x:v>
      </x:c>
      <x:c r="C8" s="12" t="str">
        <x:v>不以TestFlight安装或测试换取报酬</x:v>
      </x:c>
    </x:row>
    <x:row r="9" ht="46" customHeight="1">
      <x:c r="A9" s="20" t="str">
        <x:v>平台自有奖励成本预留</x:v>
      </x:c>
      <x:c r="B9" s="30" t="n">
        <x:v>3000</x:v>
      </x:c>
      <x:c r="C9" s="20" t="str">
        <x:v>需通过平台与条款评估；示范券本身无价值</x:v>
      </x:c>
    </x:row>
    <x:row r="10" ht="46" customHeight="1">
      <x:c r="A10" s="12" t="str">
        <x:v>初步法律与私隐谘询</x:v>
      </x:c>
      <x:c r="B10" s="31" t="n">
        <x:v>12000</x:v>
      </x:c>
      <x:c r="C10" s="12" t="str">
        <x:v>只预算初谈；不含正式发币完整法律意见</x:v>
      </x:c>
    </x:row>
    <x:row r="11" ht="46" customHeight="1">
      <x:c r="A11" s="20" t="str">
        <x:v>外部程式与安全复核</x:v>
      </x:c>
      <x:c r="B11" s="30" t="n">
        <x:v>8000</x:v>
      </x:c>
      <x:c r="C11" s="20" t="str">
        <x:v>不等于主网智能合约审计</x:v>
      </x:c>
    </x:row>
    <x:row r="12" ht="46" customHeight="1">
      <x:c r="A12" s="12" t="str">
        <x:v>文件、简报及其他</x:v>
      </x:c>
      <x:c r="B12" s="31" t="n">
        <x:v>1000</x:v>
      </x:c>
      <x:c r="C12" s="12" t="str">
        <x:v>假设</x:v>
      </x:c>
    </x:row>
    <x:row r="13">
      <x:c r="A13"/>
      <x:c r="B13" s="72"/>
      <x:c r="C13"/>
    </x:row>
    <x:row r="14" ht="28" customHeight="1">
      <x:c r="A14" s="23" t="str">
        <x:v>基础现金预算</x:v>
      </x:c>
      <x:c r="B14" s="75" t="n">
        <x:f>SUM(B5:B12)</x:f>
        <x:v>37500</x:v>
      </x:c>
      <x:c r="C14" s="23"/>
    </x:row>
    <x:row r="15">
      <x:c r="A15" t="str">
        <x:v>应急预留比率</x:v>
      </x:c>
      <x:c r="B15" s="70" t="n">
        <x:v>0.2</x:v>
      </x:c>
      <x:c r="C15"/>
    </x:row>
    <x:row r="16">
      <x:c r="A16" t="str">
        <x:v>应急预留金额</x:v>
      </x:c>
      <x:c r="B16" s="72" t="n">
        <x:f>B14*B15</x:f>
        <x:v>7500</x:v>
      </x:c>
      <x:c r="C16"/>
    </x:row>
    <x:row r="17" ht="28" customHeight="1">
      <x:c r="A17" s="23" t="str">
        <x:v>产品范围现金预算合计</x:v>
      </x:c>
      <x:c r="B17" s="75" t="n">
        <x:f>SUM(B14,B16)</x:f>
        <x:v>45000</x:v>
      </x:c>
      <x:c r="C17" s="23"/>
    </x:row>
    <x:row r="18">
      <x:c r="A18"/>
      <x:c r="B18" s="72"/>
      <x:c r="C18"/>
    </x:row>
    <x:row r="19" ht="30" customHeight="1">
      <x:c r="A19" s="127" t="str">
        <x:v>不包括创办人实际劳动、主网发行、流动性及营运储备。劳动与持续订阅费用按真实投入另算，不再由固定周数推算总成本。</x:v>
      </x:c>
      <x:c r="B19" s="127"/>
      <x:c r="C19" s="127"/>
    </x:row>
    <x:row r="20" ht="30" customHeight="1">
      <x:c r="A20" s="127"/>
      <x:c r="B20" s="127"/>
      <x:c r="C20" s="127"/>
    </x:row>
    <x:row r="21">
      <x:c r="A21"/>
      <x:c r="B21"/>
      <x:c r="C21"/>
    </x:row>
    <x:row r="22" ht="28" customHeight="1">
      <x:c r="A22"/>
      <x:c r="B22"/>
      <x:c r="C22"/>
    </x:row>
  </x:sheetData>
  <x:mergeCells>
    <x:mergeCell ref="A1:C1"/>
    <x:mergeCell ref="A2:C2"/>
    <x:mergeCell ref="A19:C2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21" hidden="0" customWidth="1"/>
    <x:col min="4" max="4" width="18" hidden="0" customWidth="1"/>
    <x:col min="5" max="5" width="25" hidden="0" customWidth="1"/>
    <x:col min="6" max="6" width="73" hidden="0" customWidth="1"/>
    <x:col min="7" max="7" width="14" hidden="0" customWidth="1"/>
    <x:col min="8" max="8" width="40" hidden="0" customWidth="1"/>
  </x:cols>
  <x:sheetData>
    <x:row r="1" ht="36" customHeight="1">
      <x:c r="A1" s="115" t="str">
        <x:v>代币配置与条件式分配模型</x:v>
      </x:c>
      <x:c r="B1" s="115"/>
      <x:c r="C1" s="115"/>
      <x:c r="D1" s="115"/>
      <x:c r="E1" s="115"/>
      <x:c r="F1" s="115"/>
      <x:c r="G1"/>
      <x:c r="H1"/>
    </x:row>
    <x:row r="2" ht="42" customHeight="1">
      <x:c r="A2" s="116" t="str">
        <x:v>总量及比例均为建模假设。取消按月／按年释放表；仍须有经批准的锁定、归属与审计控制，并非即时无锁定。</x:v>
      </x:c>
      <x:c r="B2" s="116"/>
      <x:c r="C2" s="116"/>
      <x:c r="D2" s="116"/>
      <x:c r="E2" s="116"/>
      <x:c r="F2" s="116"/>
      <x:c r="G2"/>
      <x:c r="H2"/>
    </x:row>
    <x:row r="3" ht="9" customHeight="1">
      <x:c r="A3" s="113"/>
      <x:c r="B3" s="113"/>
      <x:c r="C3" s="113"/>
      <x:c r="D3" s="113"/>
      <x:c r="E3" s="113"/>
      <x:c r="F3" s="113"/>
      <x:c r="G3"/>
      <x:c r="H3"/>
    </x:row>
    <x:row r="4" ht="28" customHeight="1">
      <x:c r="A4" s="117" t="str">
        <x:v>用途</x:v>
      </x:c>
      <x:c r="B4" s="117" t="str">
        <x:v>配置比例</x:v>
      </x:c>
      <x:c r="C4" s="117" t="str">
        <x:v>总额（HLT）</x:v>
      </x:c>
      <x:c r="D4" s="117" t="str">
        <x:v>首次事件占总量</x:v>
      </x:c>
      <x:c r="E4" s="117" t="str">
        <x:v>首次事件上限（HLT）</x:v>
      </x:c>
      <x:c r="F4" s="117" t="str">
        <x:v>释放条件</x:v>
      </x:c>
      <x:c r="G4"/>
      <x:c r="H4"/>
    </x:row>
    <x:row r="5" ht="61" customHeight="1">
      <x:c r="A5" s="118" t="str">
        <x:v>用户奖励</x:v>
      </x:c>
      <x:c r="B5" s="132" t="n">
        <x:v>0.4</x:v>
      </x:c>
      <x:c r="C5" s="130" t="n">
        <x:f>B5*$B$15</x:f>
        <x:v>400000000</x:v>
      </x:c>
      <x:c r="D5" s="132" t="n">
        <x:v>0</x:v>
      </x:c>
      <x:c r="E5" s="130" t="n">
        <x:f>D5*$B$15</x:f>
        <x:v>0</x:v>
      </x:c>
      <x:c r="F5" s="118" t="str">
        <x:v>审批后的任务批次与个人上限；未使用额度留池，不按时间自动派发。</x:v>
      </x:c>
      <x:c r="G5"/>
      <x:c r="H5"/>
    </x:row>
    <x:row r="6" ht="61" customHeight="1">
      <x:c r="A6" s="113" t="str">
        <x:v>生态／运营国库</x:v>
      </x:c>
      <x:c r="B6" s="133" t="n">
        <x:v>0.15</x:v>
      </x:c>
      <x:c r="C6" s="131" t="n">
        <x:f>B6*$B$15</x:f>
        <x:v>150000000</x:v>
      </x:c>
      <x:c r="D6" s="133" t="n">
        <x:v>0.01</x:v>
      </x:c>
      <x:c r="E6" s="131" t="n">
        <x:f>D6*$B$15</x:f>
        <x:v>10000000</x:v>
      </x:c>
      <x:c r="F6" s="113" t="str">
        <x:v>经批准预算、用途披露与锁定控制；具体释放参数另行审议。</x:v>
      </x:c>
      <x:c r="G6"/>
      <x:c r="H6"/>
    </x:row>
    <x:row r="7" ht="61" customHeight="1">
      <x:c r="A7" s="118" t="str">
        <x:v>团队</x:v>
      </x:c>
      <x:c r="B7" s="132" t="n">
        <x:v>0.15</x:v>
      </x:c>
      <x:c r="C7" s="130" t="n">
        <x:f>B7*$B$15</x:f>
        <x:v>150000000</x:v>
      </x:c>
      <x:c r="D7" s="132" t="n">
        <x:v>0</x:v>
      </x:c>
      <x:c r="E7" s="130" t="n">
        <x:f>D7*$B$15</x:f>
        <x:v>0</x:v>
      </x:c>
      <x:c r="F7" s="118" t="str">
        <x:v>必须订立归属、锁定、离队及审计条款；本版不预设日期或周期。</x:v>
      </x:c>
      <x:c r="G7"/>
      <x:c r="H7"/>
    </x:row>
    <x:row r="8" ht="61" customHeight="1">
      <x:c r="A8" s="113" t="str">
        <x:v>策略伙伴</x:v>
      </x:c>
      <x:c r="B8" s="133" t="n">
        <x:v>0.1</x:v>
      </x:c>
      <x:c r="C8" s="131" t="n">
        <x:f>B8*$B$15</x:f>
        <x:v>100000000</x:v>
      </x:c>
      <x:c r="D8" s="133" t="n">
        <x:v>0.01</x:v>
      </x:c>
      <x:c r="E8" s="131" t="n">
        <x:f>D8*$B$15</x:f>
        <x:v>10000000</x:v>
      </x:c>
      <x:c r="F8" s="113" t="str">
        <x:v>有真实协议与可核实交付后才放行；锁定及分配条件另行批准。</x:v>
      </x:c>
      <x:c r="G8"/>
      <x:c r="H8"/>
    </x:row>
    <x:row r="9" ht="61" customHeight="1">
      <x:c r="A9" s="118" t="str">
        <x:v>早期投资者</x:v>
      </x:c>
      <x:c r="B9" s="132" t="n">
        <x:v>0.1</x:v>
      </x:c>
      <x:c r="C9" s="130" t="n">
        <x:f>B9*$B$15</x:f>
        <x:v>100000000</x:v>
      </x:c>
      <x:c r="D9" s="132" t="n">
        <x:v>0</x:v>
      </x:c>
      <x:c r="E9" s="130" t="n">
        <x:f>D9*$B$15</x:f>
        <x:v>0</x:v>
      </x:c>
      <x:c r="F9" s="118" t="str">
        <x:v>按合法协议及经审计的归属／锁定规则；不是即时可交易承诺。</x:v>
      </x:c>
      <x:c r="G9"/>
      <x:c r="H9"/>
    </x:row>
    <x:row r="10" ht="61" customHeight="1">
      <x:c r="A10" s="113" t="str">
        <x:v>流动性库存</x:v>
      </x:c>
      <x:c r="B10" s="133" t="n">
        <x:v>0.05</x:v>
      </x:c>
      <x:c r="C10" s="131" t="n">
        <x:f>B10*$B$15</x:f>
        <x:v>50000000</x:v>
      </x:c>
      <x:c r="D10" s="133" t="n">
        <x:v>0.02</x:v>
      </x:c>
      <x:c r="E10" s="131" t="n">
        <x:f>D10*$B$15</x:f>
        <x:v>20000000</x:v>
      </x:c>
      <x:c r="F10" s="113" t="str">
        <x:v>仅在渠道、法律及报价资产资金到位后使用；未投放不算流通。</x:v>
      </x:c>
      <x:c r="G10"/>
      <x:c r="H10"/>
    </x:row>
    <x:row r="11" ht="61" customHeight="1">
      <x:c r="A11" s="118" t="str">
        <x:v>社群启动</x:v>
      </x:c>
      <x:c r="B11" s="132" t="n">
        <x:v>0.05</x:v>
      </x:c>
      <x:c r="C11" s="130" t="n">
        <x:f>B11*$B$15</x:f>
        <x:v>50000000</x:v>
      </x:c>
      <x:c r="D11" s="132" t="n">
        <x:v>0.01</x:v>
      </x:c>
      <x:c r="E11" s="130" t="n">
        <x:f>D11*$B$15</x:f>
        <x:v>10000000</x:v>
      </x:c>
      <x:c r="F11" s="118" t="str">
        <x:v>按独立资格、名额及预算发放；旧积分不构成兑币权利。</x:v>
      </x:c>
      <x:c r="G11"/>
      <x:c r="H11"/>
    </x:row>
    <x:row r="12" ht="61" customHeight="1">
      <x:c r="A12" s="113" t="str">
        <x:v>合计</x:v>
      </x:c>
      <x:c r="B12" s="129" t="n">
        <x:f>SUM(B5:B11)</x:f>
        <x:v>1</x:v>
      </x:c>
      <x:c r="C12" s="131" t="n">
        <x:f>SUM(C5:C11)</x:f>
        <x:v>1000000000</x:v>
      </x:c>
      <x:c r="D12" s="129" t="n">
        <x:f>SUM(D5:D11)</x:f>
        <x:v>0.05</x:v>
      </x:c>
      <x:c r="E12" s="131" t="n">
        <x:f>SUM(E5:E11)</x:f>
        <x:v>50000000</x:v>
      </x:c>
      <x:c r="F12" s="113" t="str">
        <x:v>本表只列配置与首次事件上限，不构成日历释放表或估值。</x:v>
      </x:c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 ht="26" customHeight="1">
      <x:c r="A15" t="str">
        <x:v>示例固定总供应</x:v>
      </x:c>
      <x:c r="B15" s="134" t="n">
        <x:v>1000000000</x:v>
      </x:c>
      <x:c r="C15"/>
      <x:c r="D15"/>
      <x:c r="E15"/>
      <x:c r="F15"/>
      <x:c r="G15"/>
      <x:c r="H15"/>
    </x:row>
    <x:row r="16" ht="26" customHeight="1">
      <x:c r="A16"/>
      <x:c r="B16" s="134"/>
      <x:c r="C16"/>
      <x:c r="D16"/>
      <x:c r="E16"/>
      <x:c r="F16"/>
      <x:c r="G16"/>
      <x:c r="H16"/>
    </x:row>
    <x:row r="17" ht="40" customHeight="1">
      <x:c r="A17" t="str">
        <x:v>批准批次预算（HLT）</x:v>
      </x:c>
      <x:c r="B17" s="134" t="n">
        <x:v>1000000</x:v>
      </x:c>
      <x:c r="C17" s="135" t="str">
        <x:v>该批次示例最多发放200,000枚，并非真实发放承诺。铸造量、解锁额度、实际流通量及市场价值必须分开；资金库代币不等于现金。参数均为未验证的团队假设，发行仍须法律、渠道、安全及资金放行。</x:v>
      </x:c>
      <x:c r="D17" s="135"/>
      <x:c r="E17" s="135"/>
      <x:c r="F17" s="135"/>
      <x:c r="G17"/>
      <x:c r="H17"/>
    </x:row>
    <x:row r="18" ht="40" customHeight="1">
      <x:c r="A18" t="str">
        <x:v>合资格用户数</x:v>
      </x:c>
      <x:c r="B18" s="134" t="n">
        <x:v>1000</x:v>
      </x:c>
      <x:c r="C18" s="135"/>
      <x:c r="D18" s="135"/>
      <x:c r="E18" s="135"/>
      <x:c r="F18" s="135"/>
      <x:c r="G18"/>
      <x:c r="H18"/>
    </x:row>
    <x:row r="19" ht="40" customHeight="1">
      <x:c r="A19" t="str">
        <x:v>每人上限（HLT）</x:v>
      </x:c>
      <x:c r="B19" s="134" t="n">
        <x:v>200</x:v>
      </x:c>
      <x:c r="C19" s="135"/>
      <x:c r="D19" s="135"/>
      <x:c r="E19" s="135"/>
      <x:c r="F19" s="135"/>
      <x:c r="G19"/>
      <x:c r="H19"/>
    </x:row>
    <x:row r="20" ht="40" customHeight="1">
      <x:c r="A20" t="str">
        <x:v>最大可分配（HLT）</x:v>
      </x:c>
      <x:c r="B20" s="72" t="n">
        <x:f>MIN(B17,B18*B19,C5)</x:f>
        <x:v>200000</x:v>
      </x:c>
      <x:c r="C20" s="135"/>
      <x:c r="D20" s="135"/>
      <x:c r="E20" s="135"/>
      <x:c r="F20" s="135"/>
      <x:c r="G20"/>
      <x:c r="H20"/>
    </x:row>
    <x:row r="21" ht="40" customHeight="1">
      <x:c r="A21" t="str">
        <x:v>未用批次额度（HLT）</x:v>
      </x:c>
      <x:c r="B21" s="72" t="n">
        <x:f>B17-B20</x:f>
        <x:v>800000</x:v>
      </x:c>
      <x:c r="C21" s="135"/>
      <x:c r="D21" s="135"/>
      <x:c r="E21" s="135"/>
      <x:c r="F21" s="135"/>
      <x:c r="G21"/>
      <x:c r="H21"/>
    </x:row>
    <x:row r="22" ht="32" customHeight="1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 ht="28" customHeight="1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 ht="26" customHeight="1">
      <x:c r="A32"/>
      <x:c r="B32"/>
      <x:c r="C32"/>
      <x:c r="D32"/>
      <x:c r="E32"/>
      <x:c r="F32"/>
      <x:c r="G32"/>
      <x:c r="H32"/>
    </x:row>
    <x:row r="33" ht="26" customHeight="1">
      <x:c r="A33"/>
      <x:c r="B33"/>
      <x:c r="C33"/>
      <x:c r="D33"/>
      <x:c r="E33"/>
      <x:c r="F33"/>
      <x:c r="G33"/>
      <x:c r="H33"/>
    </x:row>
  </x:sheetData>
  <x:mergeCells>
    <x:mergeCell ref="A1:F1"/>
    <x:mergeCell ref="A2:F2"/>
    <x:mergeCell ref="C17:F21"/>
  </x:mergeCells>
  <x:pageMargins left="0.7" right="0.7" top="0.75" bottom="0.75" header="0.3" footer="0.3"/>
  <x:legacyDrawing xmlns:r="http://schemas.openxmlformats.org/officeDocument/2006/relationships" r:id="R35365eedaa0e4105"/>
</x:worksheet>
</file>

<file path=xl/worksheets/sheet1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10" hidden="0" customWidth="1"/>
  </x:cols>
  <x:sheetData>
    <x:row r="1" ht="36" customHeight="1">
      <x:c r="A1" s="115" t="str">
        <x:v>HEALTHLOOP｜Codex开发与验收工作簿</x:v>
      </x:c>
      <x:c r="B1" s="115"/>
    </x:row>
    <x:row r="2" ht="42" customHeight="1">
      <x:c r="A2" s="116" t="str">
        <x:v>简体中文修订｜按依赖和验收推进。App尚未开发交付，市场假设及发币方案尚未验证。</x:v>
      </x:c>
      <x:c r="B2" s="116"/>
    </x:row>
    <x:row r="3" ht="9" customHeight="1">
      <x:c r="A3" s="113"/>
      <x:c r="B3" s="113"/>
    </x:row>
    <x:row r="4" ht="28" customHeight="1">
      <x:c r="A4" s="117" t="str">
        <x:v>项目</x:v>
      </x:c>
      <x:c r="B4" s="117" t="str">
        <x:v>内容／可计算摘要</x:v>
      </x:c>
    </x:row>
    <x:row r="5" ht="42" customHeight="1">
      <x:c r="A5" s="118" t="str">
        <x:v>计划名称</x:v>
      </x:c>
      <x:c r="B5" s="118" t="str">
        <x:v>HealthLoop 健康循环；工作名称尚未检索。</x:v>
      </x:c>
    </x:row>
    <x:row r="6" ht="55" customHeight="1">
      <x:c r="A6" s="113" t="str">
        <x:v>协作方式</x:v>
      </x:c>
      <x:c r="B6" s="113" t="str">
        <x:v>四人项目，58项需求仅B／C负责并交叉复核；不设固定交付周期。</x:v>
      </x:c>
    </x:row>
    <x:row r="7" ht="55" customHeight="1">
      <x:c r="A7" s="118" t="str">
        <x:v>核心产品</x:v>
      </x:c>
      <x:c r="B7" s="118" t="str">
        <x:v>iOS优先；真实步数；可得睡眠及心率；不可转让积分；管理台及赞助卡片。</x:v>
      </x:c>
    </x:row>
    <x:row r="8" ht="55" customHeight="1">
      <x:c r="A8" s="113" t="str">
        <x:v>独立实验室</x:v>
      </x:c>
      <x:c r="B8" s="113" t="str">
        <x:v>合成任务、两款钱包、Base Sepolia无价值测试币；不连正式健康数据或账户。</x:v>
      </x:c>
    </x:row>
    <x:row r="9" ht="55" customHeight="1">
      <x:c r="A9" s="118" t="str">
        <x:v>主网边界</x:v>
      </x:c>
      <x:c r="B9" s="118" t="str">
        <x:v>仅在商业、法律、平台、安全及资金条件通过后另行决策；可以不发币。</x:v>
      </x:c>
    </x:row>
    <x:row r="10" ht="42" customHeight="1">
      <x:c r="A10" s="113" t="str">
        <x:v>需求总数</x:v>
      </x:c>
      <x:c r="B10" s="136" t="n">
        <x:f>COUNTA('需求清单'!A5:A62)</x:f>
        <x:v>58</x:v>
      </x:c>
    </x:row>
    <x:row r="11" ht="42" customHeight="1">
      <x:c r="A11" s="118" t="str">
        <x:v>P0核心项</x:v>
      </x:c>
      <x:c r="B11" s="137" t="n">
        <x:f>COUNTIF('需求清单'!D5:D62,"P0")</x:f>
        <x:v>36</x:v>
      </x:c>
    </x:row>
    <x:row r="12" ht="42" customHeight="1">
      <x:c r="A12" s="113" t="str">
        <x:v>LAB实验项</x:v>
      </x:c>
      <x:c r="B12" s="136" t="n">
        <x:f>COUNTIF('需求清单'!D5:D62,"LAB")</x:f>
        <x:v>8</x:v>
      </x:c>
    </x:row>
    <x:row r="13" ht="42" customHeight="1">
      <x:c r="A13" s="118" t="str">
        <x:v>P1／P2条件扩展</x:v>
      </x:c>
      <x:c r="B13" s="137" t="n">
        <x:f>COUNTIF('需求清单'!D5:D62,"P1")+COUNTIF('需求清单'!D5:D62,"P2")</x:f>
        <x:v>14</x:v>
      </x:c>
    </x:row>
    <x:row r="14" ht="42" customHeight="1">
      <x:c r="A14" s="113" t="str">
        <x:v>B负责项</x:v>
      </x:c>
      <x:c r="B14" s="136" t="n">
        <x:f>COUNTIF('需求清单'!E5:E62,"B")</x:f>
        <x:v>28</x:v>
      </x:c>
    </x:row>
    <x:row r="15" ht="42" customHeight="1">
      <x:c r="A15" s="118" t="str">
        <x:v>C负责项</x:v>
      </x:c>
      <x:c r="B15" s="137" t="n">
        <x:f>COUNTIF('需求清单'!E5:E62,"C")</x:f>
        <x:v>30</x:v>
      </x:c>
    </x:row>
    <x:row r="16" ht="42" customHeight="1">
      <x:c r="A16" s="113" t="str">
        <x:v>范围现金预算HKD</x:v>
      </x:c>
      <x:c r="B16" s="136" t="n">
        <x:f>'MVP预算'!B17</x:f>
        <x:v>45000</x:v>
      </x:c>
    </x:row>
    <x:row r="17" ht="42" customHeight="1">
      <x:c r="A17" s="118" t="str">
        <x:v>基准月收入HKD</x:v>
      </x:c>
      <x:c r="B17" s="137" t="n">
        <x:f>'收入模型'!C12</x:f>
        <x:v>23800</x:v>
      </x:c>
    </x:row>
    <x:row r="18" ht="42" customHeight="1">
      <x:c r="A18" s="113" t="str">
        <x:v>基准扣劳动预算前现金贡献HKD</x:v>
      </x:c>
      <x:c r="B18" s="136" t="n">
        <x:f>'收入模型'!C18</x:f>
        <x:v>4800</x:v>
      </x:c>
    </x:row>
    <x:row r="19" ht="42" customHeight="1">
      <x:c r="A19" s="118" t="str">
        <x:v>基准扣劳动预算后余额HKD</x:v>
      </x:c>
      <x:c r="B19" s="137" t="n">
        <x:f>'收入模型'!C21</x:f>
        <x:v>-31200</x:v>
      </x:c>
    </x:row>
    <x:row r="20" ht="55" customHeight="1">
      <x:c r="A20" s="113" t="str">
        <x:v>如何使用</x:v>
      </x:c>
      <x:c r="B20" s="113" t="str">
        <x:v>填写姓名；按依赖完成工作，在需求清单更新状态及可核验的测试证据。Codex提示词放在代码仓库，不依赖旧版排班。</x:v>
      </x:c>
    </x:row>
    <x:row r="21" ht="55" customHeight="1">
      <x:c r="A21" s="118" t="str">
        <x:v>事实与假设</x:v>
      </x:c>
      <x:c r="B21" s="118" t="str">
        <x:v>官方资料见资料来源；价格、用户数、留存、预算及代币参数均为未验证假设，不是已完成结果。</x:v>
      </x:c>
    </x:row>
    <x:row r="22" ht="55" customHeight="1">
      <x:c r="A22" s="113" t="str">
        <x:v>安全边界</x:v>
      </x:c>
      <x:c r="B22" s="113" t="str">
        <x:v>不出售健康数据，不收助记词，不看广告领币，不保价，不承诺积分兑主网币。</x:v>
      </x:c>
    </x:row>
    <x:row r="23" ht="55" customHeight="1">
      <x:c r="A23" s="118" t="str">
        <x:v>专业责任</x:v>
      </x:c>
      <x:c r="B23" s="118" t="str">
        <x:v>A协调商业及法律，D支持研究与测试；需求负责人不代替律师意见或独立主网审计。</x:v>
      </x:c>
    </x:row>
    <x:row r="24" ht="55" customHeight="1">
      <x:c r="A24" s="113" t="str">
        <x:v>保留的业务时间单位</x:v>
      </x:c>
      <x:c r="B24" s="113" t="str">
        <x:v>每日／每周任务、留存观察窗口及月度财务单位是产品规则或测量单位，不是项目交付排期。</x:v>
      </x:c>
    </x:row>
    <x:row r="25" ht="56" customHeight="1">
      <x:c r="A25"/>
      <x:c r="B25"/>
    </x:row>
    <x:row r="26" ht="56" customHeight="1">
      <x:c r="A26"/>
      <x:c r="B26"/>
    </x:row>
    <x:row r="27" ht="56" customHeight="1">
      <x:c r="A27"/>
      <x:c r="B27"/>
    </x:row>
  </x:sheetData>
  <x:mergeCells>
    <x:mergeCell ref="A1:B1"/>
    <x:mergeCell ref="A2:B2"/>
  </x:mergeCells>
  <x:pageMargins left="0.7" right="0.7" top="0.75" bottom="0.75" header="0.3" footer="0.3"/>
</x:worksheet>
</file>